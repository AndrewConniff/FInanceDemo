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microsoft-my.sharepoint.com/personal/mimishal_microsoft_com/Documents/Microsoft Teams Chat Files/"/>
    </mc:Choice>
  </mc:AlternateContent>
  <xr:revisionPtr revIDLastSave="51" documentId="11_A7DACA9E41CBFF2E028D2521ABD279DA3A714F19" xr6:coauthVersionLast="47" xr6:coauthVersionMax="47" xr10:uidLastSave="{D3D5B650-6B01-46A2-B738-35117EF7FBFC}"/>
  <bookViews>
    <workbookView xWindow="-110" yWindow="-110" windowWidth="23260" windowHeight="14860" activeTab="5" xr2:uid="{00000000-000D-0000-FFFF-FFFF00000000}"/>
  </bookViews>
  <sheets>
    <sheet name="Dashboard" sheetId="1" r:id="rId1"/>
    <sheet name="Financial Summary" sheetId="2" r:id="rId2"/>
    <sheet name="Providers" sheetId="3" r:id="rId3"/>
    <sheet name="Claims" sheetId="4" r:id="rId4"/>
    <sheet name="Payments" sheetId="5" r:id="rId5"/>
    <sheet name="Deadlines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1" l="1"/>
  <c r="B9" i="1"/>
  <c r="B8" i="1"/>
  <c r="B7" i="1"/>
  <c r="B6" i="1"/>
  <c r="B5" i="1"/>
  <c r="B4" i="1"/>
</calcChain>
</file>

<file path=xl/sharedStrings.xml><?xml version="1.0" encoding="utf-8"?>
<sst xmlns="http://schemas.openxmlformats.org/spreadsheetml/2006/main" count="8616" uniqueCount="2774">
  <si>
    <t>UHC Finance Ops Dashboard (Demo)</t>
  </si>
  <si>
    <t>Key Metrics</t>
  </si>
  <si>
    <t>Total Claims</t>
  </si>
  <si>
    <t>Claims Pending / On Hold</t>
  </si>
  <si>
    <t>Claims Denied</t>
  </si>
  <si>
    <t>Payments Overdue</t>
  </si>
  <si>
    <t>Payments On Hold/Returned</t>
  </si>
  <si>
    <t>Total $ Outstanding (Payments Not Completed)</t>
  </si>
  <si>
    <t>Past-Due Deadlines</t>
  </si>
  <si>
    <t>Copilot prompts to try:</t>
  </si>
  <si>
    <t>• Summarize the biggest drivers of overdue payments and which providers are impacted.</t>
  </si>
  <si>
    <t>• Find claims that have been pending more than 45 days and group them by provider.</t>
  </si>
  <si>
    <t>• Create a pivot chart showing payment status counts by method.</t>
  </si>
  <si>
    <t>• Draft an email to a provider explaining what we need to release a payment hold.</t>
  </si>
  <si>
    <t>Month</t>
  </si>
  <si>
    <t>Premium Revenue ($)</t>
  </si>
  <si>
    <t>Claims Paid ($)</t>
  </si>
  <si>
    <t>Admin Costs ($)</t>
  </si>
  <si>
    <t>Net Income ($)</t>
  </si>
  <si>
    <t>Medical Loss Ratio (MLR)</t>
  </si>
  <si>
    <t>Jan</t>
  </si>
  <si>
    <t>Feb</t>
  </si>
  <si>
    <t>Mar</t>
  </si>
  <si>
    <t>Apr</t>
  </si>
  <si>
    <t>May</t>
  </si>
  <si>
    <t>ProviderID</t>
  </si>
  <si>
    <t>Provider Name</t>
  </si>
  <si>
    <t>NPI</t>
  </si>
  <si>
    <t>Specialty</t>
  </si>
  <si>
    <t>State</t>
  </si>
  <si>
    <t>Contract Status</t>
  </si>
  <si>
    <t>Payment Hold?</t>
  </si>
  <si>
    <t>Outstanding Balance ($)</t>
  </si>
  <si>
    <t>Last Payment Date</t>
  </si>
  <si>
    <t>Notes</t>
  </si>
  <si>
    <t>PRV-0001</t>
  </si>
  <si>
    <t>North Specialists PC</t>
  </si>
  <si>
    <t>1831147253</t>
  </si>
  <si>
    <t>Dermatology</t>
  </si>
  <si>
    <t>OH</t>
  </si>
  <si>
    <t>In Network</t>
  </si>
  <si>
    <t>No</t>
  </si>
  <si>
    <t>PRV-0002</t>
  </si>
  <si>
    <t>North Care PC</t>
  </si>
  <si>
    <t>1511766887</t>
  </si>
  <si>
    <t>Cardiology</t>
  </si>
  <si>
    <t>IA</t>
  </si>
  <si>
    <t>Out of Network</t>
  </si>
  <si>
    <t>PRV-0003</t>
  </si>
  <si>
    <t>Central Medical</t>
  </si>
  <si>
    <t>1174873534</t>
  </si>
  <si>
    <t>Primary Care</t>
  </si>
  <si>
    <t>IL</t>
  </si>
  <si>
    <t>PRV-0004</t>
  </si>
  <si>
    <t>Prairie Specialists</t>
  </si>
  <si>
    <t>1788339923</t>
  </si>
  <si>
    <t>Urgent Care</t>
  </si>
  <si>
    <t>SD</t>
  </si>
  <si>
    <t>Yes</t>
  </si>
  <si>
    <t>Credentialing review</t>
  </si>
  <si>
    <t>PRV-0005</t>
  </si>
  <si>
    <t>Riverside Health</t>
  </si>
  <si>
    <t>1987543523</t>
  </si>
  <si>
    <t>Radiology</t>
  </si>
  <si>
    <t>WI</t>
  </si>
  <si>
    <t>PRV-0006</t>
  </si>
  <si>
    <t>Pine Health PC</t>
  </si>
  <si>
    <t>1155091485</t>
  </si>
  <si>
    <t>MI</t>
  </si>
  <si>
    <t>PRV-0007</t>
  </si>
  <si>
    <t>Lakeside Group LLC</t>
  </si>
  <si>
    <t>1698383778</t>
  </si>
  <si>
    <t>PRV-0008</t>
  </si>
  <si>
    <t>Prairie Medical LLC</t>
  </si>
  <si>
    <t>1615772148</t>
  </si>
  <si>
    <t>Orthopedics</t>
  </si>
  <si>
    <t>Dispute open - awaiting documentation</t>
  </si>
  <si>
    <t>PRV-0009</t>
  </si>
  <si>
    <t>Lakeside Medical PC</t>
  </si>
  <si>
    <t>1832562864</t>
  </si>
  <si>
    <t>PRV-0010</t>
  </si>
  <si>
    <t>East Care PC</t>
  </si>
  <si>
    <t>1576653453</t>
  </si>
  <si>
    <t>PRV-0011</t>
  </si>
  <si>
    <t>North Group LLC</t>
  </si>
  <si>
    <t>1992281087</t>
  </si>
  <si>
    <t>ND</t>
  </si>
  <si>
    <t>PRV-0012</t>
  </si>
  <si>
    <t>Central Health</t>
  </si>
  <si>
    <t>1537038541</t>
  </si>
  <si>
    <t>PRV-0013</t>
  </si>
  <si>
    <t>Lakeside Care PC</t>
  </si>
  <si>
    <t>1923754229</t>
  </si>
  <si>
    <t>Pediatrics</t>
  </si>
  <si>
    <t>PRV-0014</t>
  </si>
  <si>
    <t>East Specialists Inc</t>
  </si>
  <si>
    <t>1620813701</t>
  </si>
  <si>
    <t>MN</t>
  </si>
  <si>
    <t>PRV-0015</t>
  </si>
  <si>
    <t>Riverside Specialists PC</t>
  </si>
  <si>
    <t>1573887257</t>
  </si>
  <si>
    <t>Termed</t>
  </si>
  <si>
    <t>PRV-0016</t>
  </si>
  <si>
    <t>Summit Health Inc</t>
  </si>
  <si>
    <t>1070454804</t>
  </si>
  <si>
    <t>Oncology</t>
  </si>
  <si>
    <t>PRV-0017</t>
  </si>
  <si>
    <t>Pine Medical</t>
  </si>
  <si>
    <t>1131853964</t>
  </si>
  <si>
    <t>PRV-0018</t>
  </si>
  <si>
    <t>Lakeside Clinic LLC</t>
  </si>
  <si>
    <t>1649018897</t>
  </si>
  <si>
    <t>PRV-0019</t>
  </si>
  <si>
    <t>Pine Clinic LLC</t>
  </si>
  <si>
    <t>1028311282</t>
  </si>
  <si>
    <t>Behavioral Health</t>
  </si>
  <si>
    <t>Overpayment recovery in progress</t>
  </si>
  <si>
    <t>PRV-0020</t>
  </si>
  <si>
    <t>North Group Inc</t>
  </si>
  <si>
    <t>1957020588</t>
  </si>
  <si>
    <t>PRV-0021</t>
  </si>
  <si>
    <t>East Clinic LLC</t>
  </si>
  <si>
    <t>1698169960</t>
  </si>
  <si>
    <t>PRV-0022</t>
  </si>
  <si>
    <t>Prairie Group PC</t>
  </si>
  <si>
    <t>1467738797</t>
  </si>
  <si>
    <t>PRV-0023</t>
  </si>
  <si>
    <t>North Specialists Inc</t>
  </si>
  <si>
    <t>1890668965</t>
  </si>
  <si>
    <t>PRV-0024</t>
  </si>
  <si>
    <t>Lakeside Care LLC</t>
  </si>
  <si>
    <t>1141713093</t>
  </si>
  <si>
    <t>PRV-0025</t>
  </si>
  <si>
    <t>Lakeside Care</t>
  </si>
  <si>
    <t>1008549971</t>
  </si>
  <si>
    <t>PRV-0026</t>
  </si>
  <si>
    <t>East Care Inc</t>
  </si>
  <si>
    <t>1943994149</t>
  </si>
  <si>
    <t>Pending Renewal</t>
  </si>
  <si>
    <t>PRV-0027</t>
  </si>
  <si>
    <t>West Care</t>
  </si>
  <si>
    <t>1315575417</t>
  </si>
  <si>
    <t>PRV-0028</t>
  </si>
  <si>
    <t>North Health</t>
  </si>
  <si>
    <t>1886210079</t>
  </si>
  <si>
    <t>PRV-0029</t>
  </si>
  <si>
    <t>Riverside Group PC</t>
  </si>
  <si>
    <t>1468139755</t>
  </si>
  <si>
    <t>Bank account validation required</t>
  </si>
  <si>
    <t>PRV-0030</t>
  </si>
  <si>
    <t>Riverside Specialists Inc</t>
  </si>
  <si>
    <t>1240126142</t>
  </si>
  <si>
    <t>PRV-0031</t>
  </si>
  <si>
    <t>Central Clinic</t>
  </si>
  <si>
    <t>1998042757</t>
  </si>
  <si>
    <t>PRV-0032</t>
  </si>
  <si>
    <t>Prairie Medical</t>
  </si>
  <si>
    <t>1701026471</t>
  </si>
  <si>
    <t>PRV-0033</t>
  </si>
  <si>
    <t>Riverside Clinic</t>
  </si>
  <si>
    <t>1898903270</t>
  </si>
  <si>
    <t>PRV-0034</t>
  </si>
  <si>
    <t>1222361891</t>
  </si>
  <si>
    <t>PRV-0035</t>
  </si>
  <si>
    <t>1693709265</t>
  </si>
  <si>
    <t>PRV-0036</t>
  </si>
  <si>
    <t>Riverside Care PC</t>
  </si>
  <si>
    <t>1835373682</t>
  </si>
  <si>
    <t>PRV-0037</t>
  </si>
  <si>
    <t>Lakeside Health PC</t>
  </si>
  <si>
    <t>1133645726</t>
  </si>
  <si>
    <t>PRV-0038</t>
  </si>
  <si>
    <t>East Care</t>
  </si>
  <si>
    <t>1306257042</t>
  </si>
  <si>
    <t>PRV-0039</t>
  </si>
  <si>
    <t>Central Hospital</t>
  </si>
  <si>
    <t>1689760314</t>
  </si>
  <si>
    <t>PRV-0040</t>
  </si>
  <si>
    <t>Riverside Group LLC</t>
  </si>
  <si>
    <t>1738883033</t>
  </si>
  <si>
    <t>PRV-0041</t>
  </si>
  <si>
    <t>Pine Group</t>
  </si>
  <si>
    <t>1857486463</t>
  </si>
  <si>
    <t>PRV-0042</t>
  </si>
  <si>
    <t>North Care</t>
  </si>
  <si>
    <t>1990627147</t>
  </si>
  <si>
    <t>PRV-0043</t>
  </si>
  <si>
    <t>Summit Care LLC</t>
  </si>
  <si>
    <t>1544482717</t>
  </si>
  <si>
    <t>W-9 verification pending</t>
  </si>
  <si>
    <t>PRV-0044</t>
  </si>
  <si>
    <t>Summit Specialists Inc</t>
  </si>
  <si>
    <t>1949580644</t>
  </si>
  <si>
    <t>PRV-0045</t>
  </si>
  <si>
    <t>Prairie Clinic PC</t>
  </si>
  <si>
    <t>1250853315</t>
  </si>
  <si>
    <t>PRV-0046</t>
  </si>
  <si>
    <t>1091140327</t>
  </si>
  <si>
    <t>PRV-0047</t>
  </si>
  <si>
    <t>Riverside Clinic LLC</t>
  </si>
  <si>
    <t>1283235604</t>
  </si>
  <si>
    <t>PRV-0048</t>
  </si>
  <si>
    <t>East Medical</t>
  </si>
  <si>
    <t>1817765579</t>
  </si>
  <si>
    <t>PRV-0049</t>
  </si>
  <si>
    <t>Summit Health</t>
  </si>
  <si>
    <t>1920565434</t>
  </si>
  <si>
    <t>PRV-0050</t>
  </si>
  <si>
    <t>Central Specialists LLC</t>
  </si>
  <si>
    <t>1940932422</t>
  </si>
  <si>
    <t>PRV-0051</t>
  </si>
  <si>
    <t>1207231408</t>
  </si>
  <si>
    <t>PRV-0052</t>
  </si>
  <si>
    <t>North Hospital Inc</t>
  </si>
  <si>
    <t>1419595161</t>
  </si>
  <si>
    <t>PRV-0053</t>
  </si>
  <si>
    <t>Lakeside Health Inc</t>
  </si>
  <si>
    <t>1734167457</t>
  </si>
  <si>
    <t>PRV-0054</t>
  </si>
  <si>
    <t>Riverside Hospital PC</t>
  </si>
  <si>
    <t>1978876712</t>
  </si>
  <si>
    <t>PRV-0055</t>
  </si>
  <si>
    <t>Central Medical LLC</t>
  </si>
  <si>
    <t>1040376806</t>
  </si>
  <si>
    <t>PRV-0056</t>
  </si>
  <si>
    <t>West Hospital Inc</t>
  </si>
  <si>
    <t>1349504224</t>
  </si>
  <si>
    <t>PRV-0057</t>
  </si>
  <si>
    <t>Central Care Inc</t>
  </si>
  <si>
    <t>1713213089</t>
  </si>
  <si>
    <t>PRV-0058</t>
  </si>
  <si>
    <t>Prairie Health Inc</t>
  </si>
  <si>
    <t>1195108456</t>
  </si>
  <si>
    <t>PRV-0059</t>
  </si>
  <si>
    <t>1699256800</t>
  </si>
  <si>
    <t>PRV-0060</t>
  </si>
  <si>
    <t>1845765919</t>
  </si>
  <si>
    <t>PRV-0061</t>
  </si>
  <si>
    <t>Summit Group Inc</t>
  </si>
  <si>
    <t>1136869167</t>
  </si>
  <si>
    <t>PRV-0062</t>
  </si>
  <si>
    <t>Prairie Clinic LLC</t>
  </si>
  <si>
    <t>1628280704</t>
  </si>
  <si>
    <t>PRV-0063</t>
  </si>
  <si>
    <t>Riverside Health PC</t>
  </si>
  <si>
    <t>1179052621</t>
  </si>
  <si>
    <t>PRV-0064</t>
  </si>
  <si>
    <t>West Health LLC</t>
  </si>
  <si>
    <t>1777007598</t>
  </si>
  <si>
    <t>PRV-0065</t>
  </si>
  <si>
    <t>Prairie Health PC</t>
  </si>
  <si>
    <t>1025470027</t>
  </si>
  <si>
    <t>PRV-0066</t>
  </si>
  <si>
    <t>Central Specialists Inc</t>
  </si>
  <si>
    <t>1428373203</t>
  </si>
  <si>
    <t>PRV-0067</t>
  </si>
  <si>
    <t>1085289095</t>
  </si>
  <si>
    <t>PRV-0068</t>
  </si>
  <si>
    <t>North Medical Inc</t>
  </si>
  <si>
    <t>1226826639</t>
  </si>
  <si>
    <t>PRV-0069</t>
  </si>
  <si>
    <t>Pine Clinic PC</t>
  </si>
  <si>
    <t>1149823960</t>
  </si>
  <si>
    <t>PRV-0070</t>
  </si>
  <si>
    <t>Prairie Medical PC</t>
  </si>
  <si>
    <t>1929443105</t>
  </si>
  <si>
    <t>PRV-0071</t>
  </si>
  <si>
    <t>Lakeside Care Inc</t>
  </si>
  <si>
    <t>1792710093</t>
  </si>
  <si>
    <t>PRV-0072</t>
  </si>
  <si>
    <t>Summit Specialists PC</t>
  </si>
  <si>
    <t>1013723509</t>
  </si>
  <si>
    <t>PRV-0073</t>
  </si>
  <si>
    <t>North Clinic</t>
  </si>
  <si>
    <t>1493472186</t>
  </si>
  <si>
    <t>PRV-0074</t>
  </si>
  <si>
    <t>North Medical LLC</t>
  </si>
  <si>
    <t>1106650078</t>
  </si>
  <si>
    <t>PRV-0075</t>
  </si>
  <si>
    <t>West Medical</t>
  </si>
  <si>
    <t>1243677555</t>
  </si>
  <si>
    <t>PRV-0076</t>
  </si>
  <si>
    <t>East Group</t>
  </si>
  <si>
    <t>1357730216</t>
  </si>
  <si>
    <t>PRV-0077</t>
  </si>
  <si>
    <t>Summit Care Inc</t>
  </si>
  <si>
    <t>1080747252</t>
  </si>
  <si>
    <t>PRV-0078</t>
  </si>
  <si>
    <t>Riverside Health Inc</t>
  </si>
  <si>
    <t>1900281639</t>
  </si>
  <si>
    <t>PRV-0079</t>
  </si>
  <si>
    <t>Central Care LLC</t>
  </si>
  <si>
    <t>1978179500</t>
  </si>
  <si>
    <t>PRV-0080</t>
  </si>
  <si>
    <t>Riverside Medical Inc</t>
  </si>
  <si>
    <t>1810884903</t>
  </si>
  <si>
    <t>PRV-0081</t>
  </si>
  <si>
    <t>1431083224</t>
  </si>
  <si>
    <t>PRV-0082</t>
  </si>
  <si>
    <t>West Hospital PC</t>
  </si>
  <si>
    <t>1476933425</t>
  </si>
  <si>
    <t>PRV-0083</t>
  </si>
  <si>
    <t>West Clinic</t>
  </si>
  <si>
    <t>1638944826</t>
  </si>
  <si>
    <t>PRV-0084</t>
  </si>
  <si>
    <t>East Clinic PC</t>
  </si>
  <si>
    <t>1656828814</t>
  </si>
  <si>
    <t>PRV-0085</t>
  </si>
  <si>
    <t>Riverside Specialists</t>
  </si>
  <si>
    <t>1550805262</t>
  </si>
  <si>
    <t>PRV-0086</t>
  </si>
  <si>
    <t>Summit Medical PC</t>
  </si>
  <si>
    <t>1879757917</t>
  </si>
  <si>
    <t>PRV-0087</t>
  </si>
  <si>
    <t>Central Clinic LLC</t>
  </si>
  <si>
    <t>1579767932</t>
  </si>
  <si>
    <t>PRV-0088</t>
  </si>
  <si>
    <t>Prairie Specialists Inc</t>
  </si>
  <si>
    <t>1318860710</t>
  </si>
  <si>
    <t>PRV-0089</t>
  </si>
  <si>
    <t>West Specialists Inc</t>
  </si>
  <si>
    <t>1143230373</t>
  </si>
  <si>
    <t>PRV-0090</t>
  </si>
  <si>
    <t>Pine Care</t>
  </si>
  <si>
    <t>1507048213</t>
  </si>
  <si>
    <t>PRV-0091</t>
  </si>
  <si>
    <t>Lakeside Group PC</t>
  </si>
  <si>
    <t>1183187993</t>
  </si>
  <si>
    <t>PRV-0092</t>
  </si>
  <si>
    <t>Riverside Care LLC</t>
  </si>
  <si>
    <t>1205023540</t>
  </si>
  <si>
    <t>PRV-0093</t>
  </si>
  <si>
    <t>1973947420</t>
  </si>
  <si>
    <t>PRV-0094</t>
  </si>
  <si>
    <t>Riverside Hospital</t>
  </si>
  <si>
    <t>1349865155</t>
  </si>
  <si>
    <t>PRV-0095</t>
  </si>
  <si>
    <t>Pine Group LLC</t>
  </si>
  <si>
    <t>1640353836</t>
  </si>
  <si>
    <t>PRV-0096</t>
  </si>
  <si>
    <t>Lakeside Clinic</t>
  </si>
  <si>
    <t>1429896340</t>
  </si>
  <si>
    <t>PRV-0097</t>
  </si>
  <si>
    <t>Pine Medical Inc</t>
  </si>
  <si>
    <t>1387794915</t>
  </si>
  <si>
    <t>PRV-0098</t>
  </si>
  <si>
    <t>West Specialists</t>
  </si>
  <si>
    <t>1610941134</t>
  </si>
  <si>
    <t>PRV-0099</t>
  </si>
  <si>
    <t>Pine Care Inc</t>
  </si>
  <si>
    <t>1725518570</t>
  </si>
  <si>
    <t>PRV-0100</t>
  </si>
  <si>
    <t>West Specialists LLC</t>
  </si>
  <si>
    <t>1142680205</t>
  </si>
  <si>
    <t>PRV-0101</t>
  </si>
  <si>
    <t>East Hospital Inc</t>
  </si>
  <si>
    <t>1803556070</t>
  </si>
  <si>
    <t>PRV-0102</t>
  </si>
  <si>
    <t>Summit Hospital Inc</t>
  </si>
  <si>
    <t>1202153434</t>
  </si>
  <si>
    <t>PRV-0103</t>
  </si>
  <si>
    <t>Summit Specialists</t>
  </si>
  <si>
    <t>1795425709</t>
  </si>
  <si>
    <t>PRV-0104</t>
  </si>
  <si>
    <t>Pine Group Inc</t>
  </si>
  <si>
    <t>1600950603</t>
  </si>
  <si>
    <t>PRV-0105</t>
  </si>
  <si>
    <t>Prairie Hospital Inc</t>
  </si>
  <si>
    <t>1523761099</t>
  </si>
  <si>
    <t>PRV-0106</t>
  </si>
  <si>
    <t>Lakeside Health LLC</t>
  </si>
  <si>
    <t>1375174560</t>
  </si>
  <si>
    <t>PRV-0107</t>
  </si>
  <si>
    <t>North Medical</t>
  </si>
  <si>
    <t>1843083095</t>
  </si>
  <si>
    <t>PRV-0108</t>
  </si>
  <si>
    <t>1719305252</t>
  </si>
  <si>
    <t>PRV-0109</t>
  </si>
  <si>
    <t>West Specialists PC</t>
  </si>
  <si>
    <t>1217892680</t>
  </si>
  <si>
    <t>PRV-0110</t>
  </si>
  <si>
    <t>North Specialists</t>
  </si>
  <si>
    <t>1663406143</t>
  </si>
  <si>
    <t>PRV-0111</t>
  </si>
  <si>
    <t>West Group</t>
  </si>
  <si>
    <t>1970037921</t>
  </si>
  <si>
    <t>PRV-0112</t>
  </si>
  <si>
    <t>1460061171</t>
  </si>
  <si>
    <t>PRV-0113</t>
  </si>
  <si>
    <t>Central Clinic PC</t>
  </si>
  <si>
    <t>1817547863</t>
  </si>
  <si>
    <t>PRV-0114</t>
  </si>
  <si>
    <t>Lakeside Specialists Inc</t>
  </si>
  <si>
    <t>1490863364</t>
  </si>
  <si>
    <t>PRV-0115</t>
  </si>
  <si>
    <t>Central Care</t>
  </si>
  <si>
    <t>1106740684</t>
  </si>
  <si>
    <t>PRV-0116</t>
  </si>
  <si>
    <t>1722292991</t>
  </si>
  <si>
    <t>PRV-0117</t>
  </si>
  <si>
    <t>1151450765</t>
  </si>
  <si>
    <t>PRV-0118</t>
  </si>
  <si>
    <t>Summit Group PC</t>
  </si>
  <si>
    <t>1429426522</t>
  </si>
  <si>
    <t>PRV-0119</t>
  </si>
  <si>
    <t>East Health Inc</t>
  </si>
  <si>
    <t>1418348415</t>
  </si>
  <si>
    <t>PRV-0120</t>
  </si>
  <si>
    <t>Riverside Group Inc</t>
  </si>
  <si>
    <t>1946027775</t>
  </si>
  <si>
    <t>PRV-0121</t>
  </si>
  <si>
    <t>Summit Clinic Inc</t>
  </si>
  <si>
    <t>1233626294</t>
  </si>
  <si>
    <t>PRV-0122</t>
  </si>
  <si>
    <t>North Care LLC</t>
  </si>
  <si>
    <t>1531314032</t>
  </si>
  <si>
    <t>PRV-0123</t>
  </si>
  <si>
    <t>1435678976</t>
  </si>
  <si>
    <t>PRV-0124</t>
  </si>
  <si>
    <t>Summit Health LLC</t>
  </si>
  <si>
    <t>1190009436</t>
  </si>
  <si>
    <t>PRV-0125</t>
  </si>
  <si>
    <t>Pine Hospital LLC</t>
  </si>
  <si>
    <t>1102305508</t>
  </si>
  <si>
    <t>PRV-0126</t>
  </si>
  <si>
    <t>Summit Care PC</t>
  </si>
  <si>
    <t>1976689809</t>
  </si>
  <si>
    <t>PRV-0127</t>
  </si>
  <si>
    <t>1366969263</t>
  </si>
  <si>
    <t>PRV-0128</t>
  </si>
  <si>
    <t>East Hospital</t>
  </si>
  <si>
    <t>1576742167</t>
  </si>
  <si>
    <t>PRV-0129</t>
  </si>
  <si>
    <t>Lakeside Hospital LLC</t>
  </si>
  <si>
    <t>1299204529</t>
  </si>
  <si>
    <t>PRV-0130</t>
  </si>
  <si>
    <t>1587559670</t>
  </si>
  <si>
    <t>PRV-0131</t>
  </si>
  <si>
    <t>Summit Medical</t>
  </si>
  <si>
    <t>1617445122</t>
  </si>
  <si>
    <t>PRV-0132</t>
  </si>
  <si>
    <t>West Group LLC</t>
  </si>
  <si>
    <t>1354698663</t>
  </si>
  <si>
    <t>PRV-0133</t>
  </si>
  <si>
    <t>1744595389</t>
  </si>
  <si>
    <t>PRV-0134</t>
  </si>
  <si>
    <t>Central Health Inc</t>
  </si>
  <si>
    <t>1383978462</t>
  </si>
  <si>
    <t>PRV-0135</t>
  </si>
  <si>
    <t>Pine Hospital Inc</t>
  </si>
  <si>
    <t>1292308800</t>
  </si>
  <si>
    <t>PRV-0136</t>
  </si>
  <si>
    <t>North Clinic Inc</t>
  </si>
  <si>
    <t>1643392834</t>
  </si>
  <si>
    <t>PRV-0137</t>
  </si>
  <si>
    <t>1294492321</t>
  </si>
  <si>
    <t>PRV-0138</t>
  </si>
  <si>
    <t>1099668819</t>
  </si>
  <si>
    <t>PRV-0139</t>
  </si>
  <si>
    <t>1142606553</t>
  </si>
  <si>
    <t>PRV-0140</t>
  </si>
  <si>
    <t>Riverside Medical PC</t>
  </si>
  <si>
    <t>1102559489</t>
  </si>
  <si>
    <t>PRV-0141</t>
  </si>
  <si>
    <t>Summit Care</t>
  </si>
  <si>
    <t>1771976872</t>
  </si>
  <si>
    <t>PRV-0142</t>
  </si>
  <si>
    <t>1515596821</t>
  </si>
  <si>
    <t>PRV-0143</t>
  </si>
  <si>
    <t>1574567938</t>
  </si>
  <si>
    <t>PRV-0144</t>
  </si>
  <si>
    <t>East Group Inc</t>
  </si>
  <si>
    <t>1002318617</t>
  </si>
  <si>
    <t>PRV-0145</t>
  </si>
  <si>
    <t>1960213678</t>
  </si>
  <si>
    <t>PRV-0146</t>
  </si>
  <si>
    <t>Prairie Medical Inc</t>
  </si>
  <si>
    <t>1866715238</t>
  </si>
  <si>
    <t>PRV-0147</t>
  </si>
  <si>
    <t>1040221590</t>
  </si>
  <si>
    <t>PRV-0148</t>
  </si>
  <si>
    <t>Prairie Specialists LLC</t>
  </si>
  <si>
    <t>1739963330</t>
  </si>
  <si>
    <t>PRV-0149</t>
  </si>
  <si>
    <t>1115313592</t>
  </si>
  <si>
    <t>PRV-0150</t>
  </si>
  <si>
    <t>Summit Clinic LLC</t>
  </si>
  <si>
    <t>1479876266</t>
  </si>
  <si>
    <t>PRV-0151</t>
  </si>
  <si>
    <t>1543840923</t>
  </si>
  <si>
    <t>PRV-0152</t>
  </si>
  <si>
    <t>Riverside Care</t>
  </si>
  <si>
    <t>1488370187</t>
  </si>
  <si>
    <t>PRV-0153</t>
  </si>
  <si>
    <t>West Care Inc</t>
  </si>
  <si>
    <t>1336570626</t>
  </si>
  <si>
    <t>PRV-0154</t>
  </si>
  <si>
    <t>1459130761</t>
  </si>
  <si>
    <t>PRV-0155</t>
  </si>
  <si>
    <t>East Health PC</t>
  </si>
  <si>
    <t>1183158044</t>
  </si>
  <si>
    <t>PRV-0156</t>
  </si>
  <si>
    <t>Central Group PC</t>
  </si>
  <si>
    <t>1973659324</t>
  </si>
  <si>
    <t>PRV-0157</t>
  </si>
  <si>
    <t>1890646800</t>
  </si>
  <si>
    <t>PRV-0158</t>
  </si>
  <si>
    <t>Summit Medical Inc</t>
  </si>
  <si>
    <t>1388947083</t>
  </si>
  <si>
    <t>PRV-0159</t>
  </si>
  <si>
    <t>1370637877</t>
  </si>
  <si>
    <t>PRV-0160</t>
  </si>
  <si>
    <t>1013483521</t>
  </si>
  <si>
    <t>PRV-0161</t>
  </si>
  <si>
    <t>Pine Specialists PC</t>
  </si>
  <si>
    <t>1833331549</t>
  </si>
  <si>
    <t>PRV-0162</t>
  </si>
  <si>
    <t>Prairie Hospital</t>
  </si>
  <si>
    <t>1043888425</t>
  </si>
  <si>
    <t>PRV-0163</t>
  </si>
  <si>
    <t>East Group PC</t>
  </si>
  <si>
    <t>1420827080</t>
  </si>
  <si>
    <t>PRV-0164</t>
  </si>
  <si>
    <t>1473927051</t>
  </si>
  <si>
    <t>PRV-0165</t>
  </si>
  <si>
    <t>North Clinic LLC</t>
  </si>
  <si>
    <t>1476371085</t>
  </si>
  <si>
    <t>PRV-0166</t>
  </si>
  <si>
    <t>Central Care PC</t>
  </si>
  <si>
    <t>1868108182</t>
  </si>
  <si>
    <t>PRV-0167</t>
  </si>
  <si>
    <t>Pine Care LLC</t>
  </si>
  <si>
    <t>1594075049</t>
  </si>
  <si>
    <t>PRV-0168</t>
  </si>
  <si>
    <t>1915542693</t>
  </si>
  <si>
    <t>PRV-0169</t>
  </si>
  <si>
    <t>1135250100</t>
  </si>
  <si>
    <t>PRV-0170</t>
  </si>
  <si>
    <t>1499607957</t>
  </si>
  <si>
    <t>PRV-0171</t>
  </si>
  <si>
    <t>West Clinic LLC</t>
  </si>
  <si>
    <t>1580724735</t>
  </si>
  <si>
    <t>PRV-0172</t>
  </si>
  <si>
    <t>North Hospital LLC</t>
  </si>
  <si>
    <t>1151528881</t>
  </si>
  <si>
    <t>PRV-0173</t>
  </si>
  <si>
    <t>Summit Specialists LLC</t>
  </si>
  <si>
    <t>1191911908</t>
  </si>
  <si>
    <t>PRV-0174</t>
  </si>
  <si>
    <t>Lakeside Hospital Inc</t>
  </si>
  <si>
    <t>1618358818</t>
  </si>
  <si>
    <t>PRV-0175</t>
  </si>
  <si>
    <t>1319960511</t>
  </si>
  <si>
    <t>PRV-0176</t>
  </si>
  <si>
    <t>West Care PC</t>
  </si>
  <si>
    <t>1573078775</t>
  </si>
  <si>
    <t>PRV-0177</t>
  </si>
  <si>
    <t>1477896176</t>
  </si>
  <si>
    <t>PRV-0178</t>
  </si>
  <si>
    <t>Riverside Clinic Inc</t>
  </si>
  <si>
    <t>1428794683</t>
  </si>
  <si>
    <t>PRV-0179</t>
  </si>
  <si>
    <t>1480353850</t>
  </si>
  <si>
    <t>PRV-0180</t>
  </si>
  <si>
    <t>Central Hospital LLC</t>
  </si>
  <si>
    <t>1147338424</t>
  </si>
  <si>
    <t>ClaimID</t>
  </si>
  <si>
    <t>MemberID</t>
  </si>
  <si>
    <t>Service Date</t>
  </si>
  <si>
    <t>Received Date</t>
  </si>
  <si>
    <t>Adjudication Date</t>
  </si>
  <si>
    <t>Claim Type</t>
  </si>
  <si>
    <t>Billed Amount ($)</t>
  </si>
  <si>
    <t>Allowed Amount ($)</t>
  </si>
  <si>
    <t>Paid Amount ($)</t>
  </si>
  <si>
    <t>Status</t>
  </si>
  <si>
    <t>Days Outstanding</t>
  </si>
  <si>
    <t>Denial Reason</t>
  </si>
  <si>
    <t>CLM-2605-00001</t>
  </si>
  <si>
    <t>MBR-707462</t>
  </si>
  <si>
    <t>Behavioral</t>
  </si>
  <si>
    <t>Paid</t>
  </si>
  <si>
    <t>CLM-2605-00002</t>
  </si>
  <si>
    <t>MBR-455054</t>
  </si>
  <si>
    <t>Medical</t>
  </si>
  <si>
    <t>Pending</t>
  </si>
  <si>
    <t>CLM-2605-00003</t>
  </si>
  <si>
    <t>MBR-707723</t>
  </si>
  <si>
    <t>Dental</t>
  </si>
  <si>
    <t>CLM-2605-00004</t>
  </si>
  <si>
    <t>MBR-685822</t>
  </si>
  <si>
    <t>CLM-2605-00005</t>
  </si>
  <si>
    <t>MBR-419093</t>
  </si>
  <si>
    <t>Vision</t>
  </si>
  <si>
    <t>CLM-2605-00006</t>
  </si>
  <si>
    <t>MBR-513709</t>
  </si>
  <si>
    <t>Pharmacy</t>
  </si>
  <si>
    <t>CLM-2605-00007</t>
  </si>
  <si>
    <t>MBR-876355</t>
  </si>
  <si>
    <t>CLM-2605-00008</t>
  </si>
  <si>
    <t>MBR-696579</t>
  </si>
  <si>
    <t>CLM-2605-00009</t>
  </si>
  <si>
    <t>MBR-124444</t>
  </si>
  <si>
    <t>CLM-2605-00010</t>
  </si>
  <si>
    <t>MBR-615801</t>
  </si>
  <si>
    <t>CLM-2605-00011</t>
  </si>
  <si>
    <t>MBR-332094</t>
  </si>
  <si>
    <t>Reopened</t>
  </si>
  <si>
    <t>Provider dispute</t>
  </si>
  <si>
    <t>CLM-2605-00012</t>
  </si>
  <si>
    <t>MBR-969263</t>
  </si>
  <si>
    <t>CLM-2605-00013</t>
  </si>
  <si>
    <t>MBR-210624</t>
  </si>
  <si>
    <t>CLM-2605-00014</t>
  </si>
  <si>
    <t>MBR-950997</t>
  </si>
  <si>
    <t>CLM-2605-00015</t>
  </si>
  <si>
    <t>MBR-690168</t>
  </si>
  <si>
    <t>CLM-2605-00016</t>
  </si>
  <si>
    <t>MBR-367231</t>
  </si>
  <si>
    <t>CLM-2605-00017</t>
  </si>
  <si>
    <t>MBR-947123</t>
  </si>
  <si>
    <t>CLM-2605-00018</t>
  </si>
  <si>
    <t>MBR-779886</t>
  </si>
  <si>
    <t>CLM-2605-00019</t>
  </si>
  <si>
    <t>MBR-576152</t>
  </si>
  <si>
    <t>CLM-2605-00020</t>
  </si>
  <si>
    <t>MBR-626431</t>
  </si>
  <si>
    <t>CLM-2605-00021</t>
  </si>
  <si>
    <t>MBR-307816</t>
  </si>
  <si>
    <t>CLM-2605-00022</t>
  </si>
  <si>
    <t>MBR-626046</t>
  </si>
  <si>
    <t>CLM-2605-00023</t>
  </si>
  <si>
    <t>MBR-774465</t>
  </si>
  <si>
    <t>CLM-2605-00024</t>
  </si>
  <si>
    <t>MBR-871729</t>
  </si>
  <si>
    <t>CLM-2605-00025</t>
  </si>
  <si>
    <t>MBR-845783</t>
  </si>
  <si>
    <t>CLM-2605-00026</t>
  </si>
  <si>
    <t>MBR-648035</t>
  </si>
  <si>
    <t>CLM-2605-00027</t>
  </si>
  <si>
    <t>MBR-383004</t>
  </si>
  <si>
    <t>CLM-2605-00028</t>
  </si>
  <si>
    <t>MBR-337080</t>
  </si>
  <si>
    <t>CLM-2605-00029</t>
  </si>
  <si>
    <t>MBR-230262</t>
  </si>
  <si>
    <t>CLM-2605-00030</t>
  </si>
  <si>
    <t>MBR-917778</t>
  </si>
  <si>
    <t>CLM-2605-00031</t>
  </si>
  <si>
    <t>MBR-457895</t>
  </si>
  <si>
    <t>CLM-2605-00032</t>
  </si>
  <si>
    <t>MBR-505469</t>
  </si>
  <si>
    <t>CLM-2605-00033</t>
  </si>
  <si>
    <t>MBR-625815</t>
  </si>
  <si>
    <t>Denied</t>
  </si>
  <si>
    <t>Missing documentation</t>
  </si>
  <si>
    <t>CLM-2605-00034</t>
  </si>
  <si>
    <t>MBR-595463</t>
  </si>
  <si>
    <t>CLM-2605-00035</t>
  </si>
  <si>
    <t>MBR-338921</t>
  </si>
  <si>
    <t>CLM-2605-00036</t>
  </si>
  <si>
    <t>MBR-673084</t>
  </si>
  <si>
    <t>CLM-2605-00037</t>
  </si>
  <si>
    <t>MBR-176217</t>
  </si>
  <si>
    <t>CLM-2605-00038</t>
  </si>
  <si>
    <t>MBR-411826</t>
  </si>
  <si>
    <t>CLM-2605-00039</t>
  </si>
  <si>
    <t>MBR-244745</t>
  </si>
  <si>
    <t>CLM-2605-00040</t>
  </si>
  <si>
    <t>MBR-915514</t>
  </si>
  <si>
    <t>CLM-2605-00041</t>
  </si>
  <si>
    <t>MBR-586949</t>
  </si>
  <si>
    <t>On Hold</t>
  </si>
  <si>
    <t>Fraud review</t>
  </si>
  <si>
    <t>CLM-2605-00042</t>
  </si>
  <si>
    <t>MBR-137677</t>
  </si>
  <si>
    <t>Banking validation</t>
  </si>
  <si>
    <t>CLM-2605-00043</t>
  </si>
  <si>
    <t>MBR-704043</t>
  </si>
  <si>
    <t>CLM-2605-00044</t>
  </si>
  <si>
    <t>MBR-754461</t>
  </si>
  <si>
    <t>CLM-2605-00045</t>
  </si>
  <si>
    <t>MBR-412118</t>
  </si>
  <si>
    <t>CLM-2605-00046</t>
  </si>
  <si>
    <t>MBR-993779</t>
  </si>
  <si>
    <t>CLM-2605-00047</t>
  </si>
  <si>
    <t>MBR-738058</t>
  </si>
  <si>
    <t>CLM-2605-00048</t>
  </si>
  <si>
    <t>MBR-479708</t>
  </si>
  <si>
    <t>CLM-2605-00049</t>
  </si>
  <si>
    <t>MBR-704751</t>
  </si>
  <si>
    <t>CLM-2605-00050</t>
  </si>
  <si>
    <t>MBR-891330</t>
  </si>
  <si>
    <t>CLM-2605-00051</t>
  </si>
  <si>
    <t>MBR-101762</t>
  </si>
  <si>
    <t>Duplicate claim</t>
  </si>
  <si>
    <t>CLM-2605-00052</t>
  </si>
  <si>
    <t>MBR-529289</t>
  </si>
  <si>
    <t>CLM-2605-00053</t>
  </si>
  <si>
    <t>MBR-226479</t>
  </si>
  <si>
    <t>CLM-2605-00054</t>
  </si>
  <si>
    <t>MBR-191850</t>
  </si>
  <si>
    <t>CLM-2605-00055</t>
  </si>
  <si>
    <t>MBR-574455</t>
  </si>
  <si>
    <t>CLM-2605-00056</t>
  </si>
  <si>
    <t>MBR-488422</t>
  </si>
  <si>
    <t>CLM-2605-00057</t>
  </si>
  <si>
    <t>MBR-793492</t>
  </si>
  <si>
    <t>CLM-2605-00058</t>
  </si>
  <si>
    <t>MBR-866050</t>
  </si>
  <si>
    <t>CLM-2605-00059</t>
  </si>
  <si>
    <t>MBR-204541</t>
  </si>
  <si>
    <t>CLM-2605-00060</t>
  </si>
  <si>
    <t>MBR-532814</t>
  </si>
  <si>
    <t>CLM-2605-00061</t>
  </si>
  <si>
    <t>MBR-463332</t>
  </si>
  <si>
    <t>CLM-2605-00062</t>
  </si>
  <si>
    <t>MBR-780822</t>
  </si>
  <si>
    <t>CLM-2605-00063</t>
  </si>
  <si>
    <t>MBR-727221</t>
  </si>
  <si>
    <t>CLM-2605-00064</t>
  </si>
  <si>
    <t>MBR-477558</t>
  </si>
  <si>
    <t>CLM-2605-00065</t>
  </si>
  <si>
    <t>MBR-710328</t>
  </si>
  <si>
    <t>CLM-2605-00066</t>
  </si>
  <si>
    <t>MBR-375592</t>
  </si>
  <si>
    <t>High-dollar claim review</t>
  </si>
  <si>
    <t>CLM-2605-00067</t>
  </si>
  <si>
    <t>MBR-170369</t>
  </si>
  <si>
    <t>CLM-2605-00068</t>
  </si>
  <si>
    <t>MBR-413578</t>
  </si>
  <si>
    <t>CLM-2605-00069</t>
  </si>
  <si>
    <t>MBR-849670</t>
  </si>
  <si>
    <t>Coverage inactive on service date</t>
  </si>
  <si>
    <t>CLM-2605-00070</t>
  </si>
  <si>
    <t>MBR-810043</t>
  </si>
  <si>
    <t>CLM-2605-00071</t>
  </si>
  <si>
    <t>MBR-130172</t>
  </si>
  <si>
    <t>CLM-2605-00072</t>
  </si>
  <si>
    <t>MBR-218420</t>
  </si>
  <si>
    <t>CLM-2605-00073</t>
  </si>
  <si>
    <t>MBR-976143</t>
  </si>
  <si>
    <t>Prior auth required</t>
  </si>
  <si>
    <t>CLM-2605-00074</t>
  </si>
  <si>
    <t>MBR-109196</t>
  </si>
  <si>
    <t>CLM-2605-00075</t>
  </si>
  <si>
    <t>MBR-142934</t>
  </si>
  <si>
    <t>Appeal received</t>
  </si>
  <si>
    <t>CLM-2605-00076</t>
  </si>
  <si>
    <t>MBR-923654</t>
  </si>
  <si>
    <t>CLM-2605-00077</t>
  </si>
  <si>
    <t>MBR-856383</t>
  </si>
  <si>
    <t>CLM-2605-00078</t>
  </si>
  <si>
    <t>MBR-679618</t>
  </si>
  <si>
    <t>CLM-2605-00079</t>
  </si>
  <si>
    <t>MBR-748569</t>
  </si>
  <si>
    <t>CLM-2605-00080</t>
  </si>
  <si>
    <t>MBR-951165</t>
  </si>
  <si>
    <t>CLM-2605-00081</t>
  </si>
  <si>
    <t>MBR-717994</t>
  </si>
  <si>
    <t>CLM-2605-00082</t>
  </si>
  <si>
    <t>MBR-536193</t>
  </si>
  <si>
    <t>CLM-2605-00083</t>
  </si>
  <si>
    <t>MBR-458888</t>
  </si>
  <si>
    <t>CLM-2605-00084</t>
  </si>
  <si>
    <t>MBR-120479</t>
  </si>
  <si>
    <t>CLM-2605-00085</t>
  </si>
  <si>
    <t>MBR-941964</t>
  </si>
  <si>
    <t>Additional documentation requested</t>
  </si>
  <si>
    <t>CLM-2605-00086</t>
  </si>
  <si>
    <t>MBR-267934</t>
  </si>
  <si>
    <t>CLM-2605-00087</t>
  </si>
  <si>
    <t>MBR-154334</t>
  </si>
  <si>
    <t>Coding mismatch</t>
  </si>
  <si>
    <t>CLM-2605-00088</t>
  </si>
  <si>
    <t>MBR-447112</t>
  </si>
  <si>
    <t>CLM-2605-00089</t>
  </si>
  <si>
    <t>MBR-827473</t>
  </si>
  <si>
    <t>CLM-2605-00090</t>
  </si>
  <si>
    <t>MBR-830883</t>
  </si>
  <si>
    <t>CLM-2605-00091</t>
  </si>
  <si>
    <t>MBR-279905</t>
  </si>
  <si>
    <t>CLM-2605-00092</t>
  </si>
  <si>
    <t>MBR-457883</t>
  </si>
  <si>
    <t>CLM-2605-00093</t>
  </si>
  <si>
    <t>MBR-774159</t>
  </si>
  <si>
    <t>CLM-2605-00094</t>
  </si>
  <si>
    <t>MBR-186043</t>
  </si>
  <si>
    <t>CLM-2605-00095</t>
  </si>
  <si>
    <t>MBR-585994</t>
  </si>
  <si>
    <t>CLM-2605-00096</t>
  </si>
  <si>
    <t>MBR-730556</t>
  </si>
  <si>
    <t>CLM-2605-00097</t>
  </si>
  <si>
    <t>MBR-103820</t>
  </si>
  <si>
    <t>CLM-2605-00098</t>
  </si>
  <si>
    <t>MBR-379454</t>
  </si>
  <si>
    <t>CLM-2605-00099</t>
  </si>
  <si>
    <t>MBR-709871</t>
  </si>
  <si>
    <t>CLM-2605-00100</t>
  </si>
  <si>
    <t>MBR-993157</t>
  </si>
  <si>
    <t>CLM-2605-00101</t>
  </si>
  <si>
    <t>MBR-803451</t>
  </si>
  <si>
    <t>CLM-2605-00102</t>
  </si>
  <si>
    <t>MBR-118530</t>
  </si>
  <si>
    <t>CLM-2605-00103</t>
  </si>
  <si>
    <t>MBR-328189</t>
  </si>
  <si>
    <t>CLM-2605-00104</t>
  </si>
  <si>
    <t>MBR-422526</t>
  </si>
  <si>
    <t>CLM-2605-00105</t>
  </si>
  <si>
    <t>MBR-185984</t>
  </si>
  <si>
    <t>CLM-2605-00106</t>
  </si>
  <si>
    <t>MBR-250718</t>
  </si>
  <si>
    <t>CLM-2605-00107</t>
  </si>
  <si>
    <t>MBR-477208</t>
  </si>
  <si>
    <t>CLM-2605-00108</t>
  </si>
  <si>
    <t>MBR-255293</t>
  </si>
  <si>
    <t>CLM-2605-00109</t>
  </si>
  <si>
    <t>MBR-128141</t>
  </si>
  <si>
    <t>CLM-2605-00110</t>
  </si>
  <si>
    <t>MBR-644917</t>
  </si>
  <si>
    <t>CLM-2605-00111</t>
  </si>
  <si>
    <t>MBR-448479</t>
  </si>
  <si>
    <t>CLM-2605-00112</t>
  </si>
  <si>
    <t>MBR-371395</t>
  </si>
  <si>
    <t>CLM-2605-00113</t>
  </si>
  <si>
    <t>MBR-669399</t>
  </si>
  <si>
    <t>CLM-2605-00114</t>
  </si>
  <si>
    <t>MBR-692173</t>
  </si>
  <si>
    <t>CLM-2605-00115</t>
  </si>
  <si>
    <t>MBR-731313</t>
  </si>
  <si>
    <t>CLM-2605-00116</t>
  </si>
  <si>
    <t>MBR-392591</t>
  </si>
  <si>
    <t>CLM-2605-00117</t>
  </si>
  <si>
    <t>MBR-251600</t>
  </si>
  <si>
    <t>CLM-2605-00118</t>
  </si>
  <si>
    <t>MBR-746908</t>
  </si>
  <si>
    <t>CLM-2605-00119</t>
  </si>
  <si>
    <t>MBR-509239</t>
  </si>
  <si>
    <t>CLM-2605-00120</t>
  </si>
  <si>
    <t>MBR-262525</t>
  </si>
  <si>
    <t>CLM-2605-00121</t>
  </si>
  <si>
    <t>MBR-531083</t>
  </si>
  <si>
    <t>CLM-2605-00122</t>
  </si>
  <si>
    <t>MBR-468936</t>
  </si>
  <si>
    <t>CLM-2605-00123</t>
  </si>
  <si>
    <t>MBR-970232</t>
  </si>
  <si>
    <t>CLM-2605-00124</t>
  </si>
  <si>
    <t>MBR-146203</t>
  </si>
  <si>
    <t>CLM-2605-00125</t>
  </si>
  <si>
    <t>MBR-690491</t>
  </si>
  <si>
    <t>CLM-2605-00126</t>
  </si>
  <si>
    <t>MBR-237789</t>
  </si>
  <si>
    <t>CLM-2605-00127</t>
  </si>
  <si>
    <t>MBR-708528</t>
  </si>
  <si>
    <t>CLM-2605-00128</t>
  </si>
  <si>
    <t>MBR-341056</t>
  </si>
  <si>
    <t>Provider payment hold</t>
  </si>
  <si>
    <t>CLM-2605-00129</t>
  </si>
  <si>
    <t>MBR-373412</t>
  </si>
  <si>
    <t>CLM-2605-00130</t>
  </si>
  <si>
    <t>MBR-793813</t>
  </si>
  <si>
    <t>CLM-2605-00131</t>
  </si>
  <si>
    <t>MBR-977642</t>
  </si>
  <si>
    <t>CLM-2605-00132</t>
  </si>
  <si>
    <t>MBR-959376</t>
  </si>
  <si>
    <t>CLM-2605-00133</t>
  </si>
  <si>
    <t>MBR-593707</t>
  </si>
  <si>
    <t>CLM-2605-00134</t>
  </si>
  <si>
    <t>MBR-988294</t>
  </si>
  <si>
    <t>CLM-2605-00135</t>
  </si>
  <si>
    <t>MBR-455884</t>
  </si>
  <si>
    <t>CLM-2605-00136</t>
  </si>
  <si>
    <t>MBR-556709</t>
  </si>
  <si>
    <t>CLM-2605-00137</t>
  </si>
  <si>
    <t>MBR-608284</t>
  </si>
  <si>
    <t>Out of network - no auth</t>
  </si>
  <si>
    <t>CLM-2605-00138</t>
  </si>
  <si>
    <t>MBR-530311</t>
  </si>
  <si>
    <t>CLM-2605-00139</t>
  </si>
  <si>
    <t>MBR-291968</t>
  </si>
  <si>
    <t>CLM-2605-00140</t>
  </si>
  <si>
    <t>MBR-679135</t>
  </si>
  <si>
    <t>CLM-2605-00141</t>
  </si>
  <si>
    <t>MBR-304406</t>
  </si>
  <si>
    <t>CLM-2605-00142</t>
  </si>
  <si>
    <t>MBR-325694</t>
  </si>
  <si>
    <t>CLM-2605-00143</t>
  </si>
  <si>
    <t>MBR-821982</t>
  </si>
  <si>
    <t>CLM-2605-00144</t>
  </si>
  <si>
    <t>MBR-371285</t>
  </si>
  <si>
    <t>CLM-2605-00145</t>
  </si>
  <si>
    <t>MBR-490622</t>
  </si>
  <si>
    <t>CLM-2605-00146</t>
  </si>
  <si>
    <t>MBR-916276</t>
  </si>
  <si>
    <t>CLM-2605-00147</t>
  </si>
  <si>
    <t>MBR-661314</t>
  </si>
  <si>
    <t>CLM-2605-00148</t>
  </si>
  <si>
    <t>MBR-869262</t>
  </si>
  <si>
    <t>CLM-2605-00149</t>
  </si>
  <si>
    <t>MBR-205599</t>
  </si>
  <si>
    <t>CLM-2605-00150</t>
  </si>
  <si>
    <t>MBR-868824</t>
  </si>
  <si>
    <t>CLM-2605-00151</t>
  </si>
  <si>
    <t>MBR-721837</t>
  </si>
  <si>
    <t>CLM-2605-00152</t>
  </si>
  <si>
    <t>MBR-429128</t>
  </si>
  <si>
    <t>CLM-2605-00153</t>
  </si>
  <si>
    <t>MBR-705793</t>
  </si>
  <si>
    <t>CLM-2605-00154</t>
  </si>
  <si>
    <t>MBR-509809</t>
  </si>
  <si>
    <t>CLM-2605-00155</t>
  </si>
  <si>
    <t>MBR-185633</t>
  </si>
  <si>
    <t>CLM-2605-00156</t>
  </si>
  <si>
    <t>MBR-467328</t>
  </si>
  <si>
    <t>CLM-2605-00157</t>
  </si>
  <si>
    <t>MBR-279631</t>
  </si>
  <si>
    <t>CLM-2605-00158</t>
  </si>
  <si>
    <t>MBR-510208</t>
  </si>
  <si>
    <t>CLM-2605-00159</t>
  </si>
  <si>
    <t>MBR-403550</t>
  </si>
  <si>
    <t>CLM-2605-00160</t>
  </si>
  <si>
    <t>MBR-644564</t>
  </si>
  <si>
    <t>CLM-2605-00161</t>
  </si>
  <si>
    <t>MBR-777892</t>
  </si>
  <si>
    <t>CLM-2605-00162</t>
  </si>
  <si>
    <t>MBR-323341</t>
  </si>
  <si>
    <t>CLM-2605-00163</t>
  </si>
  <si>
    <t>MBR-222886</t>
  </si>
  <si>
    <t>CLM-2605-00164</t>
  </si>
  <si>
    <t>MBR-171556</t>
  </si>
  <si>
    <t>CLM-2605-00165</t>
  </si>
  <si>
    <t>MBR-878420</t>
  </si>
  <si>
    <t>CLM-2605-00166</t>
  </si>
  <si>
    <t>MBR-848017</t>
  </si>
  <si>
    <t>CLM-2605-00167</t>
  </si>
  <si>
    <t>MBR-667990</t>
  </si>
  <si>
    <t>CLM-2605-00168</t>
  </si>
  <si>
    <t>MBR-782380</t>
  </si>
  <si>
    <t>CLM-2605-00169</t>
  </si>
  <si>
    <t>MBR-514742</t>
  </si>
  <si>
    <t>CLM-2605-00170</t>
  </si>
  <si>
    <t>MBR-711847</t>
  </si>
  <si>
    <t>CLM-2605-00171</t>
  </si>
  <si>
    <t>MBR-594300</t>
  </si>
  <si>
    <t>CLM-2605-00172</t>
  </si>
  <si>
    <t>MBR-629499</t>
  </si>
  <si>
    <t>CLM-2605-00173</t>
  </si>
  <si>
    <t>MBR-167124</t>
  </si>
  <si>
    <t>CLM-2605-00174</t>
  </si>
  <si>
    <t>MBR-405716</t>
  </si>
  <si>
    <t>CLM-2605-00175</t>
  </si>
  <si>
    <t>MBR-770019</t>
  </si>
  <si>
    <t>CLM-2605-00176</t>
  </si>
  <si>
    <t>MBR-680466</t>
  </si>
  <si>
    <t>CLM-2605-00177</t>
  </si>
  <si>
    <t>MBR-612970</t>
  </si>
  <si>
    <t>CLM-2605-00178</t>
  </si>
  <si>
    <t>MBR-413380</t>
  </si>
  <si>
    <t>CLM-2605-00179</t>
  </si>
  <si>
    <t>MBR-875142</t>
  </si>
  <si>
    <t>CLM-2605-00180</t>
  </si>
  <si>
    <t>MBR-105742</t>
  </si>
  <si>
    <t>CLM-2605-00181</t>
  </si>
  <si>
    <t>MBR-919935</t>
  </si>
  <si>
    <t>CLM-2605-00182</t>
  </si>
  <si>
    <t>MBR-721256</t>
  </si>
  <si>
    <t>CLM-2605-00183</t>
  </si>
  <si>
    <t>MBR-678114</t>
  </si>
  <si>
    <t>CLM-2605-00184</t>
  </si>
  <si>
    <t>MBR-195127</t>
  </si>
  <si>
    <t>CLM-2605-00185</t>
  </si>
  <si>
    <t>MBR-528279</t>
  </si>
  <si>
    <t>CLM-2605-00186</t>
  </si>
  <si>
    <t>MBR-245274</t>
  </si>
  <si>
    <t>CLM-2605-00187</t>
  </si>
  <si>
    <t>MBR-619182</t>
  </si>
  <si>
    <t>CLM-2605-00188</t>
  </si>
  <si>
    <t>MBR-147293</t>
  </si>
  <si>
    <t>CLM-2605-00189</t>
  </si>
  <si>
    <t>MBR-506638</t>
  </si>
  <si>
    <t>CLM-2605-00190</t>
  </si>
  <si>
    <t>MBR-354166</t>
  </si>
  <si>
    <t>CLM-2605-00191</t>
  </si>
  <si>
    <t>MBR-240355</t>
  </si>
  <si>
    <t>CLM-2605-00192</t>
  </si>
  <si>
    <t>MBR-849612</t>
  </si>
  <si>
    <t>CLM-2605-00193</t>
  </si>
  <si>
    <t>MBR-768559</t>
  </si>
  <si>
    <t>CLM-2605-00194</t>
  </si>
  <si>
    <t>MBR-955359</t>
  </si>
  <si>
    <t>CLM-2605-00195</t>
  </si>
  <si>
    <t>MBR-987266</t>
  </si>
  <si>
    <t>CLM-2605-00196</t>
  </si>
  <si>
    <t>MBR-819802</t>
  </si>
  <si>
    <t>CLM-2605-00197</t>
  </si>
  <si>
    <t>MBR-494859</t>
  </si>
  <si>
    <t>CLM-2605-00198</t>
  </si>
  <si>
    <t>MBR-792308</t>
  </si>
  <si>
    <t>CLM-2605-00199</t>
  </si>
  <si>
    <t>MBR-614810</t>
  </si>
  <si>
    <t>CLM-2605-00200</t>
  </si>
  <si>
    <t>MBR-883554</t>
  </si>
  <si>
    <t>CLM-2605-00201</t>
  </si>
  <si>
    <t>MBR-349254</t>
  </si>
  <si>
    <t>CLM-2605-00202</t>
  </si>
  <si>
    <t>MBR-966830</t>
  </si>
  <si>
    <t>CLM-2605-00203</t>
  </si>
  <si>
    <t>MBR-392880</t>
  </si>
  <si>
    <t>CLM-2605-00204</t>
  </si>
  <si>
    <t>MBR-207966</t>
  </si>
  <si>
    <t>CLM-2605-00205</t>
  </si>
  <si>
    <t>MBR-783498</t>
  </si>
  <si>
    <t>CLM-2605-00206</t>
  </si>
  <si>
    <t>MBR-359807</t>
  </si>
  <si>
    <t>CLM-2605-00207</t>
  </si>
  <si>
    <t>MBR-390816</t>
  </si>
  <si>
    <t>CLM-2605-00208</t>
  </si>
  <si>
    <t>MBR-517820</t>
  </si>
  <si>
    <t>CLM-2605-00209</t>
  </si>
  <si>
    <t>MBR-836167</t>
  </si>
  <si>
    <t>CLM-2605-00210</t>
  </si>
  <si>
    <t>MBR-886645</t>
  </si>
  <si>
    <t>CLM-2605-00211</t>
  </si>
  <si>
    <t>MBR-827817</t>
  </si>
  <si>
    <t>CLM-2605-00212</t>
  </si>
  <si>
    <t>MBR-594834</t>
  </si>
  <si>
    <t>Timely filing exceeded</t>
  </si>
  <si>
    <t>CLM-2605-00213</t>
  </si>
  <si>
    <t>MBR-898314</t>
  </si>
  <si>
    <t>CLM-2605-00214</t>
  </si>
  <si>
    <t>MBR-643099</t>
  </si>
  <si>
    <t>CLM-2605-00215</t>
  </si>
  <si>
    <t>MBR-382384</t>
  </si>
  <si>
    <t>CLM-2605-00216</t>
  </si>
  <si>
    <t>MBR-634729</t>
  </si>
  <si>
    <t>CLM-2605-00217</t>
  </si>
  <si>
    <t>MBR-236603</t>
  </si>
  <si>
    <t>CLM-2605-00218</t>
  </si>
  <si>
    <t>MBR-777452</t>
  </si>
  <si>
    <t>CLM-2605-00219</t>
  </si>
  <si>
    <t>MBR-417957</t>
  </si>
  <si>
    <t>CLM-2605-00220</t>
  </si>
  <si>
    <t>MBR-243996</t>
  </si>
  <si>
    <t>CLM-2605-00221</t>
  </si>
  <si>
    <t>MBR-567770</t>
  </si>
  <si>
    <t>CLM-2605-00222</t>
  </si>
  <si>
    <t>MBR-235909</t>
  </si>
  <si>
    <t>CLM-2605-00223</t>
  </si>
  <si>
    <t>MBR-158960</t>
  </si>
  <si>
    <t>CLM-2605-00224</t>
  </si>
  <si>
    <t>MBR-730070</t>
  </si>
  <si>
    <t>CLM-2605-00225</t>
  </si>
  <si>
    <t>MBR-417446</t>
  </si>
  <si>
    <t>CLM-2605-00226</t>
  </si>
  <si>
    <t>MBR-310034</t>
  </si>
  <si>
    <t>CLM-2605-00227</t>
  </si>
  <si>
    <t>MBR-744041</t>
  </si>
  <si>
    <t>CLM-2605-00228</t>
  </si>
  <si>
    <t>MBR-191628</t>
  </si>
  <si>
    <t>CLM-2605-00229</t>
  </si>
  <si>
    <t>MBR-666531</t>
  </si>
  <si>
    <t>CLM-2605-00230</t>
  </si>
  <si>
    <t>MBR-495681</t>
  </si>
  <si>
    <t>CLM-2605-00231</t>
  </si>
  <si>
    <t>MBR-346236</t>
  </si>
  <si>
    <t>CLM-2605-00232</t>
  </si>
  <si>
    <t>MBR-227636</t>
  </si>
  <si>
    <t>CLM-2605-00233</t>
  </si>
  <si>
    <t>MBR-696446</t>
  </si>
  <si>
    <t>CLM-2605-00234</t>
  </si>
  <si>
    <t>MBR-660939</t>
  </si>
  <si>
    <t>CLM-2605-00235</t>
  </si>
  <si>
    <t>MBR-299321</t>
  </si>
  <si>
    <t>CLM-2605-00236</t>
  </si>
  <si>
    <t>MBR-646489</t>
  </si>
  <si>
    <t>CLM-2605-00237</t>
  </si>
  <si>
    <t>MBR-564877</t>
  </si>
  <si>
    <t>CLM-2605-00238</t>
  </si>
  <si>
    <t>MBR-365411</t>
  </si>
  <si>
    <t>CLM-2605-00239</t>
  </si>
  <si>
    <t>MBR-803855</t>
  </si>
  <si>
    <t>CLM-2605-00240</t>
  </si>
  <si>
    <t>MBR-111891</t>
  </si>
  <si>
    <t>CLM-2605-00241</t>
  </si>
  <si>
    <t>MBR-231196</t>
  </si>
  <si>
    <t>CLM-2605-00242</t>
  </si>
  <si>
    <t>MBR-700374</t>
  </si>
  <si>
    <t>CLM-2605-00243</t>
  </si>
  <si>
    <t>MBR-614533</t>
  </si>
  <si>
    <t>CLM-2605-00244</t>
  </si>
  <si>
    <t>MBR-512063</t>
  </si>
  <si>
    <t>CLM-2605-00245</t>
  </si>
  <si>
    <t>MBR-126383</t>
  </si>
  <si>
    <t>CLM-2605-00246</t>
  </si>
  <si>
    <t>MBR-625777</t>
  </si>
  <si>
    <t>CLM-2605-00247</t>
  </si>
  <si>
    <t>MBR-585837</t>
  </si>
  <si>
    <t>CLM-2605-00248</t>
  </si>
  <si>
    <t>MBR-782928</t>
  </si>
  <si>
    <t>CLM-2605-00249</t>
  </si>
  <si>
    <t>MBR-679903</t>
  </si>
  <si>
    <t>CLM-2605-00250</t>
  </si>
  <si>
    <t>MBR-242079</t>
  </si>
  <si>
    <t>CLM-2605-00251</t>
  </si>
  <si>
    <t>MBR-654785</t>
  </si>
  <si>
    <t>CLM-2605-00252</t>
  </si>
  <si>
    <t>MBR-165577</t>
  </si>
  <si>
    <t>CLM-2605-00253</t>
  </si>
  <si>
    <t>MBR-381867</t>
  </si>
  <si>
    <t>CLM-2605-00254</t>
  </si>
  <si>
    <t>MBR-256546</t>
  </si>
  <si>
    <t>CLM-2605-00255</t>
  </si>
  <si>
    <t>MBR-452488</t>
  </si>
  <si>
    <t>CLM-2605-00256</t>
  </si>
  <si>
    <t>MBR-320872</t>
  </si>
  <si>
    <t>CLM-2605-00257</t>
  </si>
  <si>
    <t>MBR-623108</t>
  </si>
  <si>
    <t>CLM-2605-00258</t>
  </si>
  <si>
    <t>MBR-680205</t>
  </si>
  <si>
    <t>CLM-2605-00259</t>
  </si>
  <si>
    <t>MBR-696201</t>
  </si>
  <si>
    <t>CLM-2605-00260</t>
  </si>
  <si>
    <t>MBR-397083</t>
  </si>
  <si>
    <t>CLM-2605-00261</t>
  </si>
  <si>
    <t>MBR-815533</t>
  </si>
  <si>
    <t>CLM-2605-00262</t>
  </si>
  <si>
    <t>MBR-338778</t>
  </si>
  <si>
    <t>CLM-2605-00263</t>
  </si>
  <si>
    <t>MBR-314656</t>
  </si>
  <si>
    <t>CLM-2605-00264</t>
  </si>
  <si>
    <t>MBR-273021</t>
  </si>
  <si>
    <t>CLM-2605-00265</t>
  </si>
  <si>
    <t>MBR-895524</t>
  </si>
  <si>
    <t>CLM-2605-00266</t>
  </si>
  <si>
    <t>MBR-421319</t>
  </si>
  <si>
    <t>CLM-2605-00267</t>
  </si>
  <si>
    <t>MBR-579511</t>
  </si>
  <si>
    <t>CLM-2605-00268</t>
  </si>
  <si>
    <t>MBR-957942</t>
  </si>
  <si>
    <t>CLM-2605-00269</t>
  </si>
  <si>
    <t>MBR-662533</t>
  </si>
  <si>
    <t>CLM-2605-00270</t>
  </si>
  <si>
    <t>MBR-688399</t>
  </si>
  <si>
    <t>CLM-2605-00271</t>
  </si>
  <si>
    <t>MBR-107421</t>
  </si>
  <si>
    <t>CLM-2605-00272</t>
  </si>
  <si>
    <t>MBR-580621</t>
  </si>
  <si>
    <t>CLM-2605-00273</t>
  </si>
  <si>
    <t>MBR-964204</t>
  </si>
  <si>
    <t>CLM-2605-00274</t>
  </si>
  <si>
    <t>MBR-279901</t>
  </si>
  <si>
    <t>CLM-2605-00275</t>
  </si>
  <si>
    <t>MBR-713189</t>
  </si>
  <si>
    <t>CLM-2605-00276</t>
  </si>
  <si>
    <t>MBR-347914</t>
  </si>
  <si>
    <t>CLM-2605-00277</t>
  </si>
  <si>
    <t>MBR-820254</t>
  </si>
  <si>
    <t>CLM-2605-00278</t>
  </si>
  <si>
    <t>MBR-875483</t>
  </si>
  <si>
    <t>CLM-2605-00279</t>
  </si>
  <si>
    <t>MBR-394314</t>
  </si>
  <si>
    <t>CLM-2605-00280</t>
  </si>
  <si>
    <t>MBR-890765</t>
  </si>
  <si>
    <t>CLM-2605-00281</t>
  </si>
  <si>
    <t>MBR-713732</t>
  </si>
  <si>
    <t>CLM-2605-00282</t>
  </si>
  <si>
    <t>MBR-851644</t>
  </si>
  <si>
    <t>CLM-2605-00283</t>
  </si>
  <si>
    <t>MBR-407118</t>
  </si>
  <si>
    <t>CLM-2605-00284</t>
  </si>
  <si>
    <t>MBR-743500</t>
  </si>
  <si>
    <t>CLM-2605-00285</t>
  </si>
  <si>
    <t>MBR-783722</t>
  </si>
  <si>
    <t>CLM-2605-00286</t>
  </si>
  <si>
    <t>MBR-691386</t>
  </si>
  <si>
    <t>CLM-2605-00287</t>
  </si>
  <si>
    <t>MBR-585167</t>
  </si>
  <si>
    <t>CLM-2605-00288</t>
  </si>
  <si>
    <t>MBR-645088</t>
  </si>
  <si>
    <t>CLM-2605-00289</t>
  </si>
  <si>
    <t>MBR-925358</t>
  </si>
  <si>
    <t>CLM-2605-00290</t>
  </si>
  <si>
    <t>MBR-273501</t>
  </si>
  <si>
    <t>CLM-2605-00291</t>
  </si>
  <si>
    <t>MBR-247723</t>
  </si>
  <si>
    <t>CLM-2605-00292</t>
  </si>
  <si>
    <t>MBR-823784</t>
  </si>
  <si>
    <t>CLM-2605-00293</t>
  </si>
  <si>
    <t>MBR-215016</t>
  </si>
  <si>
    <t>CLM-2605-00294</t>
  </si>
  <si>
    <t>MBR-607324</t>
  </si>
  <si>
    <t>CLM-2605-00295</t>
  </si>
  <si>
    <t>MBR-200949</t>
  </si>
  <si>
    <t>CLM-2605-00296</t>
  </si>
  <si>
    <t>MBR-854068</t>
  </si>
  <si>
    <t>CLM-2605-00297</t>
  </si>
  <si>
    <t>MBR-321698</t>
  </si>
  <si>
    <t>CLM-2605-00298</t>
  </si>
  <si>
    <t>MBR-962380</t>
  </si>
  <si>
    <t>CLM-2605-00299</t>
  </si>
  <si>
    <t>MBR-574044</t>
  </si>
  <si>
    <t>CLM-2605-00300</t>
  </si>
  <si>
    <t>MBR-953362</t>
  </si>
  <si>
    <t>CLM-2605-00301</t>
  </si>
  <si>
    <t>MBR-659975</t>
  </si>
  <si>
    <t>CLM-2605-00302</t>
  </si>
  <si>
    <t>MBR-105636</t>
  </si>
  <si>
    <t>CLM-2605-00303</t>
  </si>
  <si>
    <t>MBR-896021</t>
  </si>
  <si>
    <t>CLM-2605-00304</t>
  </si>
  <si>
    <t>MBR-937625</t>
  </si>
  <si>
    <t>CLM-2605-00305</t>
  </si>
  <si>
    <t>MBR-387527</t>
  </si>
  <si>
    <t>CLM-2605-00306</t>
  </si>
  <si>
    <t>MBR-654949</t>
  </si>
  <si>
    <t>CLM-2605-00307</t>
  </si>
  <si>
    <t>MBR-604270</t>
  </si>
  <si>
    <t>CLM-2605-00308</t>
  </si>
  <si>
    <t>MBR-939446</t>
  </si>
  <si>
    <t>CLM-2605-00309</t>
  </si>
  <si>
    <t>MBR-605858</t>
  </si>
  <si>
    <t>CLM-2605-00310</t>
  </si>
  <si>
    <t>MBR-144193</t>
  </si>
  <si>
    <t>CLM-2605-00311</t>
  </si>
  <si>
    <t>MBR-306102</t>
  </si>
  <si>
    <t>CLM-2605-00312</t>
  </si>
  <si>
    <t>MBR-122403</t>
  </si>
  <si>
    <t>CLM-2605-00313</t>
  </si>
  <si>
    <t>MBR-443513</t>
  </si>
  <si>
    <t>CLM-2605-00314</t>
  </si>
  <si>
    <t>MBR-207890</t>
  </si>
  <si>
    <t>CLM-2605-00315</t>
  </si>
  <si>
    <t>MBR-874765</t>
  </si>
  <si>
    <t>CLM-2605-00316</t>
  </si>
  <si>
    <t>MBR-764210</t>
  </si>
  <si>
    <t>CLM-2605-00317</t>
  </si>
  <si>
    <t>MBR-253893</t>
  </si>
  <si>
    <t>CLM-2605-00318</t>
  </si>
  <si>
    <t>MBR-396612</t>
  </si>
  <si>
    <t>CLM-2605-00319</t>
  </si>
  <si>
    <t>MBR-730864</t>
  </si>
  <si>
    <t>CLM-2605-00320</t>
  </si>
  <si>
    <t>MBR-127388</t>
  </si>
  <si>
    <t>CLM-2605-00321</t>
  </si>
  <si>
    <t>MBR-336862</t>
  </si>
  <si>
    <t>CLM-2605-00322</t>
  </si>
  <si>
    <t>MBR-281318</t>
  </si>
  <si>
    <t>CLM-2605-00323</t>
  </si>
  <si>
    <t>MBR-112250</t>
  </si>
  <si>
    <t>CLM-2605-00324</t>
  </si>
  <si>
    <t>MBR-340914</t>
  </si>
  <si>
    <t>CLM-2605-00325</t>
  </si>
  <si>
    <t>MBR-882685</t>
  </si>
  <si>
    <t>CLM-2605-00326</t>
  </si>
  <si>
    <t>MBR-478015</t>
  </si>
  <si>
    <t>CLM-2605-00327</t>
  </si>
  <si>
    <t>MBR-714264</t>
  </si>
  <si>
    <t>CLM-2605-00328</t>
  </si>
  <si>
    <t>MBR-845828</t>
  </si>
  <si>
    <t>CLM-2605-00329</t>
  </si>
  <si>
    <t>MBR-667227</t>
  </si>
  <si>
    <t>CLM-2605-00330</t>
  </si>
  <si>
    <t>MBR-912620</t>
  </si>
  <si>
    <t>CLM-2605-00331</t>
  </si>
  <si>
    <t>MBR-252626</t>
  </si>
  <si>
    <t>CLM-2605-00332</t>
  </si>
  <si>
    <t>MBR-267623</t>
  </si>
  <si>
    <t>CLM-2605-00333</t>
  </si>
  <si>
    <t>MBR-701160</t>
  </si>
  <si>
    <t>CLM-2605-00334</t>
  </si>
  <si>
    <t>MBR-832225</t>
  </si>
  <si>
    <t>CLM-2605-00335</t>
  </si>
  <si>
    <t>MBR-520930</t>
  </si>
  <si>
    <t>CLM-2605-00336</t>
  </si>
  <si>
    <t>MBR-707999</t>
  </si>
  <si>
    <t>CLM-2605-00337</t>
  </si>
  <si>
    <t>MBR-443011</t>
  </si>
  <si>
    <t>CLM-2605-00338</t>
  </si>
  <si>
    <t>MBR-964439</t>
  </si>
  <si>
    <t>CLM-2605-00339</t>
  </si>
  <si>
    <t>MBR-774068</t>
  </si>
  <si>
    <t>CLM-2605-00340</t>
  </si>
  <si>
    <t>MBR-600256</t>
  </si>
  <si>
    <t>CLM-2605-00341</t>
  </si>
  <si>
    <t>MBR-752789</t>
  </si>
  <si>
    <t>CLM-2605-00342</t>
  </si>
  <si>
    <t>MBR-830561</t>
  </si>
  <si>
    <t>CLM-2605-00343</t>
  </si>
  <si>
    <t>MBR-164872</t>
  </si>
  <si>
    <t>CLM-2605-00344</t>
  </si>
  <si>
    <t>MBR-764359</t>
  </si>
  <si>
    <t>CLM-2605-00345</t>
  </si>
  <si>
    <t>MBR-573141</t>
  </si>
  <si>
    <t>CLM-2605-00346</t>
  </si>
  <si>
    <t>MBR-232190</t>
  </si>
  <si>
    <t>CLM-2605-00347</t>
  </si>
  <si>
    <t>MBR-444111</t>
  </si>
  <si>
    <t>CLM-2605-00348</t>
  </si>
  <si>
    <t>MBR-702680</t>
  </si>
  <si>
    <t>CLM-2605-00349</t>
  </si>
  <si>
    <t>MBR-887058</t>
  </si>
  <si>
    <t>CLM-2605-00350</t>
  </si>
  <si>
    <t>MBR-183049</t>
  </si>
  <si>
    <t>CLM-2605-00351</t>
  </si>
  <si>
    <t>MBR-540517</t>
  </si>
  <si>
    <t>CLM-2605-00352</t>
  </si>
  <si>
    <t>MBR-999981</t>
  </si>
  <si>
    <t>CLM-2605-00353</t>
  </si>
  <si>
    <t>MBR-157729</t>
  </si>
  <si>
    <t>CLM-2605-00354</t>
  </si>
  <si>
    <t>MBR-437324</t>
  </si>
  <si>
    <t>CLM-2605-00355</t>
  </si>
  <si>
    <t>MBR-355159</t>
  </si>
  <si>
    <t>CLM-2605-00356</t>
  </si>
  <si>
    <t>MBR-122196</t>
  </si>
  <si>
    <t>CLM-2605-00357</t>
  </si>
  <si>
    <t>MBR-723588</t>
  </si>
  <si>
    <t>CLM-2605-00358</t>
  </si>
  <si>
    <t>MBR-668592</t>
  </si>
  <si>
    <t>CLM-2605-00359</t>
  </si>
  <si>
    <t>MBR-970081</t>
  </si>
  <si>
    <t>CLM-2605-00360</t>
  </si>
  <si>
    <t>MBR-730557</t>
  </si>
  <si>
    <t>CLM-2605-00361</t>
  </si>
  <si>
    <t>MBR-297561</t>
  </si>
  <si>
    <t>CLM-2605-00362</t>
  </si>
  <si>
    <t>MBR-503561</t>
  </si>
  <si>
    <t>CLM-2605-00363</t>
  </si>
  <si>
    <t>MBR-416103</t>
  </si>
  <si>
    <t>CLM-2605-00364</t>
  </si>
  <si>
    <t>MBR-957896</t>
  </si>
  <si>
    <t>CLM-2605-00365</t>
  </si>
  <si>
    <t>MBR-409229</t>
  </si>
  <si>
    <t>CLM-2605-00366</t>
  </si>
  <si>
    <t>MBR-212800</t>
  </si>
  <si>
    <t>CLM-2605-00367</t>
  </si>
  <si>
    <t>MBR-864642</t>
  </si>
  <si>
    <t>CLM-2605-00368</t>
  </si>
  <si>
    <t>MBR-951142</t>
  </si>
  <si>
    <t>CLM-2605-00369</t>
  </si>
  <si>
    <t>MBR-357297</t>
  </si>
  <si>
    <t>CLM-2605-00370</t>
  </si>
  <si>
    <t>MBR-449524</t>
  </si>
  <si>
    <t>CLM-2605-00371</t>
  </si>
  <si>
    <t>MBR-736652</t>
  </si>
  <si>
    <t>CLM-2605-00372</t>
  </si>
  <si>
    <t>MBR-133573</t>
  </si>
  <si>
    <t>CLM-2605-00373</t>
  </si>
  <si>
    <t>MBR-444304</t>
  </si>
  <si>
    <t>CLM-2605-00374</t>
  </si>
  <si>
    <t>MBR-644607</t>
  </si>
  <si>
    <t>CLM-2605-00375</t>
  </si>
  <si>
    <t>MBR-207370</t>
  </si>
  <si>
    <t>CLM-2605-00376</t>
  </si>
  <si>
    <t>MBR-100086</t>
  </si>
  <si>
    <t>CLM-2605-00377</t>
  </si>
  <si>
    <t>MBR-706025</t>
  </si>
  <si>
    <t>CLM-2605-00378</t>
  </si>
  <si>
    <t>MBR-343279</t>
  </si>
  <si>
    <t>CLM-2605-00379</t>
  </si>
  <si>
    <t>MBR-700807</t>
  </si>
  <si>
    <t>CLM-2605-00380</t>
  </si>
  <si>
    <t>MBR-773132</t>
  </si>
  <si>
    <t>CLM-2605-00381</t>
  </si>
  <si>
    <t>MBR-861272</t>
  </si>
  <si>
    <t>CLM-2605-00382</t>
  </si>
  <si>
    <t>MBR-845305</t>
  </si>
  <si>
    <t>CLM-2605-00383</t>
  </si>
  <si>
    <t>MBR-445097</t>
  </si>
  <si>
    <t>CLM-2605-00384</t>
  </si>
  <si>
    <t>MBR-530010</t>
  </si>
  <si>
    <t>CLM-2605-00385</t>
  </si>
  <si>
    <t>MBR-578017</t>
  </si>
  <si>
    <t>CLM-2605-00386</t>
  </si>
  <si>
    <t>MBR-623167</t>
  </si>
  <si>
    <t>CLM-2605-00387</t>
  </si>
  <si>
    <t>MBR-404699</t>
  </si>
  <si>
    <t>CLM-2605-00388</t>
  </si>
  <si>
    <t>MBR-518912</t>
  </si>
  <si>
    <t>CLM-2605-00389</t>
  </si>
  <si>
    <t>MBR-507912</t>
  </si>
  <si>
    <t>CLM-2605-00390</t>
  </si>
  <si>
    <t>MBR-757268</t>
  </si>
  <si>
    <t>CLM-2605-00391</t>
  </si>
  <si>
    <t>MBR-869560</t>
  </si>
  <si>
    <t>CLM-2605-00392</t>
  </si>
  <si>
    <t>MBR-642599</t>
  </si>
  <si>
    <t>CLM-2605-00393</t>
  </si>
  <si>
    <t>MBR-740177</t>
  </si>
  <si>
    <t>CLM-2605-00394</t>
  </si>
  <si>
    <t>MBR-720424</t>
  </si>
  <si>
    <t>CLM-2605-00395</t>
  </si>
  <si>
    <t>MBR-691693</t>
  </si>
  <si>
    <t>CLM-2605-00396</t>
  </si>
  <si>
    <t>MBR-586636</t>
  </si>
  <si>
    <t>CLM-2605-00397</t>
  </si>
  <si>
    <t>MBR-706156</t>
  </si>
  <si>
    <t>CLM-2605-00398</t>
  </si>
  <si>
    <t>MBR-794389</t>
  </si>
  <si>
    <t>CLM-2605-00399</t>
  </si>
  <si>
    <t>MBR-512536</t>
  </si>
  <si>
    <t>CLM-2605-00400</t>
  </si>
  <si>
    <t>MBR-932322</t>
  </si>
  <si>
    <t>CLM-2605-00401</t>
  </si>
  <si>
    <t>MBR-380651</t>
  </si>
  <si>
    <t>CLM-2605-00402</t>
  </si>
  <si>
    <t>MBR-976962</t>
  </si>
  <si>
    <t>CLM-2605-00403</t>
  </si>
  <si>
    <t>MBR-281045</t>
  </si>
  <si>
    <t>CLM-2605-00404</t>
  </si>
  <si>
    <t>MBR-795201</t>
  </si>
  <si>
    <t>CLM-2605-00405</t>
  </si>
  <si>
    <t>MBR-448215</t>
  </si>
  <si>
    <t>CLM-2605-00406</t>
  </si>
  <si>
    <t>MBR-348652</t>
  </si>
  <si>
    <t>CLM-2605-00407</t>
  </si>
  <si>
    <t>MBR-789679</t>
  </si>
  <si>
    <t>CLM-2605-00408</t>
  </si>
  <si>
    <t>MBR-849158</t>
  </si>
  <si>
    <t>CLM-2605-00409</t>
  </si>
  <si>
    <t>MBR-807981</t>
  </si>
  <si>
    <t>CLM-2605-00410</t>
  </si>
  <si>
    <t>MBR-722651</t>
  </si>
  <si>
    <t>CLM-2605-00411</t>
  </si>
  <si>
    <t>MBR-659507</t>
  </si>
  <si>
    <t>CLM-2605-00412</t>
  </si>
  <si>
    <t>MBR-200064</t>
  </si>
  <si>
    <t>CLM-2605-00413</t>
  </si>
  <si>
    <t>MBR-521826</t>
  </si>
  <si>
    <t>CLM-2605-00414</t>
  </si>
  <si>
    <t>MBR-617968</t>
  </si>
  <si>
    <t>CLM-2605-00415</t>
  </si>
  <si>
    <t>MBR-113035</t>
  </si>
  <si>
    <t>CLM-2605-00416</t>
  </si>
  <si>
    <t>MBR-985313</t>
  </si>
  <si>
    <t>CLM-2605-00417</t>
  </si>
  <si>
    <t>MBR-454845</t>
  </si>
  <si>
    <t>CLM-2605-00418</t>
  </si>
  <si>
    <t>MBR-973246</t>
  </si>
  <si>
    <t>CLM-2605-00419</t>
  </si>
  <si>
    <t>MBR-854761</t>
  </si>
  <si>
    <t>CLM-2605-00420</t>
  </si>
  <si>
    <t>MBR-863683</t>
  </si>
  <si>
    <t>CLM-2605-00421</t>
  </si>
  <si>
    <t>MBR-355348</t>
  </si>
  <si>
    <t>CLM-2605-00422</t>
  </si>
  <si>
    <t>MBR-606513</t>
  </si>
  <si>
    <t>CLM-2605-00423</t>
  </si>
  <si>
    <t>MBR-748804</t>
  </si>
  <si>
    <t>CLM-2605-00424</t>
  </si>
  <si>
    <t>MBR-974234</t>
  </si>
  <si>
    <t>CLM-2605-00425</t>
  </si>
  <si>
    <t>MBR-704430</t>
  </si>
  <si>
    <t>CLM-2605-00426</t>
  </si>
  <si>
    <t>MBR-727804</t>
  </si>
  <si>
    <t>CLM-2605-00427</t>
  </si>
  <si>
    <t>MBR-942407</t>
  </si>
  <si>
    <t>CLM-2605-00428</t>
  </si>
  <si>
    <t>MBR-822454</t>
  </si>
  <si>
    <t>CLM-2605-00429</t>
  </si>
  <si>
    <t>MBR-918731</t>
  </si>
  <si>
    <t>CLM-2605-00430</t>
  </si>
  <si>
    <t>MBR-623157</t>
  </si>
  <si>
    <t>CLM-2605-00431</t>
  </si>
  <si>
    <t>MBR-153565</t>
  </si>
  <si>
    <t>CLM-2605-00432</t>
  </si>
  <si>
    <t>MBR-842426</t>
  </si>
  <si>
    <t>CLM-2605-00433</t>
  </si>
  <si>
    <t>MBR-370091</t>
  </si>
  <si>
    <t>CLM-2605-00434</t>
  </si>
  <si>
    <t>MBR-622600</t>
  </si>
  <si>
    <t>CLM-2605-00435</t>
  </si>
  <si>
    <t>MBR-590781</t>
  </si>
  <si>
    <t>CLM-2605-00436</t>
  </si>
  <si>
    <t>MBR-315731</t>
  </si>
  <si>
    <t>CLM-2605-00437</t>
  </si>
  <si>
    <t>MBR-557069</t>
  </si>
  <si>
    <t>CLM-2605-00438</t>
  </si>
  <si>
    <t>MBR-553370</t>
  </si>
  <si>
    <t>CLM-2605-00439</t>
  </si>
  <si>
    <t>MBR-442711</t>
  </si>
  <si>
    <t>CLM-2605-00440</t>
  </si>
  <si>
    <t>MBR-818338</t>
  </si>
  <si>
    <t>CLM-2605-00441</t>
  </si>
  <si>
    <t>MBR-595762</t>
  </si>
  <si>
    <t>CLM-2605-00442</t>
  </si>
  <si>
    <t>MBR-331200</t>
  </si>
  <si>
    <t>CLM-2605-00443</t>
  </si>
  <si>
    <t>MBR-690585</t>
  </si>
  <si>
    <t>CLM-2605-00444</t>
  </si>
  <si>
    <t>MBR-652195</t>
  </si>
  <si>
    <t>CLM-2605-00445</t>
  </si>
  <si>
    <t>MBR-531318</t>
  </si>
  <si>
    <t>CLM-2605-00446</t>
  </si>
  <si>
    <t>MBR-158868</t>
  </si>
  <si>
    <t>CLM-2605-00447</t>
  </si>
  <si>
    <t>MBR-719648</t>
  </si>
  <si>
    <t>CLM-2605-00448</t>
  </si>
  <si>
    <t>MBR-623596</t>
  </si>
  <si>
    <t>CLM-2605-00449</t>
  </si>
  <si>
    <t>MBR-692195</t>
  </si>
  <si>
    <t>CLM-2605-00450</t>
  </si>
  <si>
    <t>MBR-668310</t>
  </si>
  <si>
    <t>CLM-2605-00451</t>
  </si>
  <si>
    <t>MBR-680523</t>
  </si>
  <si>
    <t>CLM-2605-00452</t>
  </si>
  <si>
    <t>MBR-920574</t>
  </si>
  <si>
    <t>CLM-2605-00453</t>
  </si>
  <si>
    <t>MBR-961415</t>
  </si>
  <si>
    <t>CLM-2605-00454</t>
  </si>
  <si>
    <t>MBR-587726</t>
  </si>
  <si>
    <t>CLM-2605-00455</t>
  </si>
  <si>
    <t>MBR-589841</t>
  </si>
  <si>
    <t>CLM-2605-00456</t>
  </si>
  <si>
    <t>MBR-530113</t>
  </si>
  <si>
    <t>CLM-2605-00457</t>
  </si>
  <si>
    <t>MBR-642039</t>
  </si>
  <si>
    <t>CLM-2605-00458</t>
  </si>
  <si>
    <t>MBR-744524</t>
  </si>
  <si>
    <t>CLM-2605-00459</t>
  </si>
  <si>
    <t>MBR-471767</t>
  </si>
  <si>
    <t>CLM-2605-00460</t>
  </si>
  <si>
    <t>MBR-572988</t>
  </si>
  <si>
    <t>CLM-2605-00461</t>
  </si>
  <si>
    <t>MBR-260682</t>
  </si>
  <si>
    <t>CLM-2605-00462</t>
  </si>
  <si>
    <t>MBR-812693</t>
  </si>
  <si>
    <t>CLM-2605-00463</t>
  </si>
  <si>
    <t>MBR-897536</t>
  </si>
  <si>
    <t>CLM-2605-00464</t>
  </si>
  <si>
    <t>MBR-333046</t>
  </si>
  <si>
    <t>CLM-2605-00465</t>
  </si>
  <si>
    <t>MBR-304204</t>
  </si>
  <si>
    <t>CLM-2605-00466</t>
  </si>
  <si>
    <t>MBR-998069</t>
  </si>
  <si>
    <t>CLM-2605-00467</t>
  </si>
  <si>
    <t>MBR-985161</t>
  </si>
  <si>
    <t>CLM-2605-00468</t>
  </si>
  <si>
    <t>MBR-846673</t>
  </si>
  <si>
    <t>CLM-2605-00469</t>
  </si>
  <si>
    <t>MBR-257312</t>
  </si>
  <si>
    <t>CLM-2605-00470</t>
  </si>
  <si>
    <t>MBR-652967</t>
  </si>
  <si>
    <t>CLM-2605-00471</t>
  </si>
  <si>
    <t>MBR-386193</t>
  </si>
  <si>
    <t>CLM-2605-00472</t>
  </si>
  <si>
    <t>MBR-827584</t>
  </si>
  <si>
    <t>CLM-2605-00473</t>
  </si>
  <si>
    <t>MBR-628319</t>
  </si>
  <si>
    <t>CLM-2605-00474</t>
  </si>
  <si>
    <t>MBR-149082</t>
  </si>
  <si>
    <t>CLM-2605-00475</t>
  </si>
  <si>
    <t>MBR-392312</t>
  </si>
  <si>
    <t>CLM-2605-00476</t>
  </si>
  <si>
    <t>MBR-712141</t>
  </si>
  <si>
    <t>CLM-2605-00477</t>
  </si>
  <si>
    <t>MBR-846394</t>
  </si>
  <si>
    <t>CLM-2605-00478</t>
  </si>
  <si>
    <t>MBR-129303</t>
  </si>
  <si>
    <t>CLM-2605-00479</t>
  </si>
  <si>
    <t>MBR-510488</t>
  </si>
  <si>
    <t>CLM-2605-00480</t>
  </si>
  <si>
    <t>MBR-354320</t>
  </si>
  <si>
    <t>CLM-2605-00481</t>
  </si>
  <si>
    <t>MBR-371147</t>
  </si>
  <si>
    <t>CLM-2605-00482</t>
  </si>
  <si>
    <t>MBR-727724</t>
  </si>
  <si>
    <t>CLM-2605-00483</t>
  </si>
  <si>
    <t>MBR-523716</t>
  </si>
  <si>
    <t>CLM-2605-00484</t>
  </si>
  <si>
    <t>MBR-607227</t>
  </si>
  <si>
    <t>CLM-2605-00485</t>
  </si>
  <si>
    <t>MBR-374001</t>
  </si>
  <si>
    <t>CLM-2605-00486</t>
  </si>
  <si>
    <t>MBR-810256</t>
  </si>
  <si>
    <t>CLM-2605-00487</t>
  </si>
  <si>
    <t>MBR-182590</t>
  </si>
  <si>
    <t>CLM-2605-00488</t>
  </si>
  <si>
    <t>MBR-652932</t>
  </si>
  <si>
    <t>CLM-2605-00489</t>
  </si>
  <si>
    <t>MBR-619878</t>
  </si>
  <si>
    <t>CLM-2605-00490</t>
  </si>
  <si>
    <t>MBR-467306</t>
  </si>
  <si>
    <t>CLM-2605-00491</t>
  </si>
  <si>
    <t>MBR-568833</t>
  </si>
  <si>
    <t>CLM-2605-00492</t>
  </si>
  <si>
    <t>MBR-983837</t>
  </si>
  <si>
    <t>CLM-2605-00493</t>
  </si>
  <si>
    <t>MBR-712946</t>
  </si>
  <si>
    <t>CLM-2605-00494</t>
  </si>
  <si>
    <t>MBR-207785</t>
  </si>
  <si>
    <t>CLM-2605-00495</t>
  </si>
  <si>
    <t>MBR-667024</t>
  </si>
  <si>
    <t>CLM-2605-00496</t>
  </si>
  <si>
    <t>MBR-567041</t>
  </si>
  <si>
    <t>CLM-2605-00497</t>
  </si>
  <si>
    <t>MBR-739836</t>
  </si>
  <si>
    <t>CLM-2605-00498</t>
  </si>
  <si>
    <t>MBR-563620</t>
  </si>
  <si>
    <t>CLM-2605-00499</t>
  </si>
  <si>
    <t>MBR-128093</t>
  </si>
  <si>
    <t>CLM-2605-00500</t>
  </si>
  <si>
    <t>MBR-927822</t>
  </si>
  <si>
    <t>CLM-2605-00501</t>
  </si>
  <si>
    <t>MBR-181467</t>
  </si>
  <si>
    <t>CLM-2605-00502</t>
  </si>
  <si>
    <t>MBR-536673</t>
  </si>
  <si>
    <t>CLM-2605-00503</t>
  </si>
  <si>
    <t>MBR-588269</t>
  </si>
  <si>
    <t>CLM-2605-00504</t>
  </si>
  <si>
    <t>MBR-983892</t>
  </si>
  <si>
    <t>CLM-2605-00505</t>
  </si>
  <si>
    <t>MBR-672572</t>
  </si>
  <si>
    <t>CLM-2605-00506</t>
  </si>
  <si>
    <t>MBR-878784</t>
  </si>
  <si>
    <t>CLM-2605-00507</t>
  </si>
  <si>
    <t>MBR-945873</t>
  </si>
  <si>
    <t>CLM-2605-00508</t>
  </si>
  <si>
    <t>MBR-602704</t>
  </si>
  <si>
    <t>CLM-2605-00509</t>
  </si>
  <si>
    <t>MBR-361966</t>
  </si>
  <si>
    <t>CLM-2605-00510</t>
  </si>
  <si>
    <t>MBR-777193</t>
  </si>
  <si>
    <t>CLM-2605-00511</t>
  </si>
  <si>
    <t>MBR-962786</t>
  </si>
  <si>
    <t>CLM-2605-00512</t>
  </si>
  <si>
    <t>MBR-332781</t>
  </si>
  <si>
    <t>CLM-2605-00513</t>
  </si>
  <si>
    <t>MBR-516535</t>
  </si>
  <si>
    <t>CLM-2605-00514</t>
  </si>
  <si>
    <t>MBR-470681</t>
  </si>
  <si>
    <t>CLM-2605-00515</t>
  </si>
  <si>
    <t>MBR-588639</t>
  </si>
  <si>
    <t>CLM-2605-00516</t>
  </si>
  <si>
    <t>MBR-298206</t>
  </si>
  <si>
    <t>CLM-2605-00517</t>
  </si>
  <si>
    <t>MBR-845137</t>
  </si>
  <si>
    <t>CLM-2605-00518</t>
  </si>
  <si>
    <t>MBR-224849</t>
  </si>
  <si>
    <t>CLM-2605-00519</t>
  </si>
  <si>
    <t>MBR-422611</t>
  </si>
  <si>
    <t>CLM-2605-00520</t>
  </si>
  <si>
    <t>MBR-555565</t>
  </si>
  <si>
    <t>PaymentID</t>
  </si>
  <si>
    <t>Payment Date</t>
  </si>
  <si>
    <t>Method</t>
  </si>
  <si>
    <t>EFT Trace / Check #</t>
  </si>
  <si>
    <t>Amount ($)</t>
  </si>
  <si>
    <t>Exception Reason</t>
  </si>
  <si>
    <t>SLA Due Date</t>
  </si>
  <si>
    <t>Days Past Due</t>
  </si>
  <si>
    <t>PAY-2605-00001</t>
  </si>
  <si>
    <t>EFT</t>
  </si>
  <si>
    <t>EFT-56969449</t>
  </si>
  <si>
    <t>Scheduled</t>
  </si>
  <si>
    <t>PAY-2605-00002</t>
  </si>
  <si>
    <t>EFT-47214590</t>
  </si>
  <si>
    <t>Completed</t>
  </si>
  <si>
    <t>PAY-2605-00003</t>
  </si>
  <si>
    <t>EFT-80784842</t>
  </si>
  <si>
    <t>PAY-2605-00004</t>
  </si>
  <si>
    <t>Check</t>
  </si>
  <si>
    <t>CHK-806136</t>
  </si>
  <si>
    <t>PAY-2605-00005</t>
  </si>
  <si>
    <t>Virtual Card</t>
  </si>
  <si>
    <t>VC-924070</t>
  </si>
  <si>
    <t>PAY-2605-00006</t>
  </si>
  <si>
    <t>EFT-78534175</t>
  </si>
  <si>
    <t>Overdue</t>
  </si>
  <si>
    <t>Manual review required</t>
  </si>
  <si>
    <t>PAY-2605-00007</t>
  </si>
  <si>
    <t>EFT-40369619</t>
  </si>
  <si>
    <t>PAY-2605-00008</t>
  </si>
  <si>
    <t>EFT-51927740</t>
  </si>
  <si>
    <t>Stop payment request</t>
  </si>
  <si>
    <t>PAY-2605-00009</t>
  </si>
  <si>
    <t>EFT-43503934</t>
  </si>
  <si>
    <t>PAY-2605-00010</t>
  </si>
  <si>
    <t>EFT-59377047</t>
  </si>
  <si>
    <t>PAY-2605-00011</t>
  </si>
  <si>
    <t>EFT-77595351</t>
  </si>
  <si>
    <t>PAY-2605-00012</t>
  </si>
  <si>
    <t>VC-376970</t>
  </si>
  <si>
    <t>PAY-2605-00013</t>
  </si>
  <si>
    <t>CHK-790827</t>
  </si>
  <si>
    <t>PAY-2605-00014</t>
  </si>
  <si>
    <t>EFT-15561994</t>
  </si>
  <si>
    <t>PAY-2605-00015</t>
  </si>
  <si>
    <t>EFT-92311786</t>
  </si>
  <si>
    <t>PAY-2605-00016</t>
  </si>
  <si>
    <t>EFT-11883589</t>
  </si>
  <si>
    <t>Address verification pending</t>
  </si>
  <si>
    <t>PAY-2605-00017</t>
  </si>
  <si>
    <t>EFT-81431686</t>
  </si>
  <si>
    <t>Remittance mismatch</t>
  </si>
  <si>
    <t>PAY-2605-00018</t>
  </si>
  <si>
    <t>EFT-12635494</t>
  </si>
  <si>
    <t>PAY-2605-00019</t>
  </si>
  <si>
    <t>EFT-48728275</t>
  </si>
  <si>
    <t>PAY-2605-00020</t>
  </si>
  <si>
    <t>EFT-51249407</t>
  </si>
  <si>
    <t>PAY-2605-00021</t>
  </si>
  <si>
    <t>PAY-2605-00022</t>
  </si>
  <si>
    <t>EFT-55027469</t>
  </si>
  <si>
    <t>PAY-2605-00023</t>
  </si>
  <si>
    <t>Bank account invalid</t>
  </si>
  <si>
    <t>PAY-2605-00024</t>
  </si>
  <si>
    <t>PAY-2605-00025</t>
  </si>
  <si>
    <t>EFT-44894491</t>
  </si>
  <si>
    <t>PAY-2605-00026</t>
  </si>
  <si>
    <t>VC-419054</t>
  </si>
  <si>
    <t>PAY-2605-00027</t>
  </si>
  <si>
    <t>EFT-50587189</t>
  </si>
  <si>
    <t>Returned</t>
  </si>
  <si>
    <t>PAY-2605-00028</t>
  </si>
  <si>
    <t>EFT-98295295</t>
  </si>
  <si>
    <t>PAY-2605-00029</t>
  </si>
  <si>
    <t>EFT-30477280</t>
  </si>
  <si>
    <t>PAY-2605-00030</t>
  </si>
  <si>
    <t>CHK-626057</t>
  </si>
  <si>
    <t>PAY-2605-00031</t>
  </si>
  <si>
    <t>EFT-64375062</t>
  </si>
  <si>
    <t>PAY-2605-00032</t>
  </si>
  <si>
    <t>EFT-34322802</t>
  </si>
  <si>
    <t>PAY-2605-00033</t>
  </si>
  <si>
    <t>EFT-73245880</t>
  </si>
  <si>
    <t>PAY-2605-00034</t>
  </si>
  <si>
    <t>EFT-15299324</t>
  </si>
  <si>
    <t>PAY-2605-00035</t>
  </si>
  <si>
    <t>PAY-2605-00036</t>
  </si>
  <si>
    <t>EFT-64035327</t>
  </si>
  <si>
    <t>PAY-2605-00037</t>
  </si>
  <si>
    <t>EFT-91200152</t>
  </si>
  <si>
    <t>PAY-2605-00038</t>
  </si>
  <si>
    <t>EFT-32852271</t>
  </si>
  <si>
    <t>PAY-2605-00039</t>
  </si>
  <si>
    <t>EFT-53861542</t>
  </si>
  <si>
    <t>PAY-2605-00040</t>
  </si>
  <si>
    <t>EFT-84294492</t>
  </si>
  <si>
    <t>PAY-2605-00041</t>
  </si>
  <si>
    <t>VC-415646</t>
  </si>
  <si>
    <t>PAY-2605-00042</t>
  </si>
  <si>
    <t>EFT-97975797</t>
  </si>
  <si>
    <t>Provider on payment hold</t>
  </si>
  <si>
    <t>PAY-2605-00043</t>
  </si>
  <si>
    <t>VC-976615</t>
  </si>
  <si>
    <t>PAY-2605-00044</t>
  </si>
  <si>
    <t>VC-887326</t>
  </si>
  <si>
    <t>PAY-2605-00045</t>
  </si>
  <si>
    <t>EFT-23002605</t>
  </si>
  <si>
    <t>PAY-2605-00046</t>
  </si>
  <si>
    <t>PAY-2605-00047</t>
  </si>
  <si>
    <t>CHK-579014</t>
  </si>
  <si>
    <t>PAY-2605-00048</t>
  </si>
  <si>
    <t>EFT-24970895</t>
  </si>
  <si>
    <t>PAY-2605-00049</t>
  </si>
  <si>
    <t>EFT-68565867</t>
  </si>
  <si>
    <t>PAY-2605-00050</t>
  </si>
  <si>
    <t>EFT-21885734</t>
  </si>
  <si>
    <t>PAY-2605-00051</t>
  </si>
  <si>
    <t>VC-983468</t>
  </si>
  <si>
    <t>PAY-2605-00052</t>
  </si>
  <si>
    <t>CHK-371091</t>
  </si>
  <si>
    <t>PAY-2605-00053</t>
  </si>
  <si>
    <t>EFT-81064966</t>
  </si>
  <si>
    <t>PAY-2605-00054</t>
  </si>
  <si>
    <t>VC-812101</t>
  </si>
  <si>
    <t>PAY-2605-00055</t>
  </si>
  <si>
    <t>EFT-72348720</t>
  </si>
  <si>
    <t>PAY-2605-00056</t>
  </si>
  <si>
    <t>EFT-98268479</t>
  </si>
  <si>
    <t>PAY-2605-00057</t>
  </si>
  <si>
    <t>EFT-31123433</t>
  </si>
  <si>
    <t>PAY-2605-00058</t>
  </si>
  <si>
    <t>VC-607959</t>
  </si>
  <si>
    <t>PAY-2605-00059</t>
  </si>
  <si>
    <t>VC-667136</t>
  </si>
  <si>
    <t>PAY-2605-00060</t>
  </si>
  <si>
    <t>CHK-469219</t>
  </si>
  <si>
    <t>PAY-2605-00061</t>
  </si>
  <si>
    <t>EFT-51127332</t>
  </si>
  <si>
    <t>PAY-2605-00062</t>
  </si>
  <si>
    <t>EFT-78230170</t>
  </si>
  <si>
    <t>PAY-2605-00063</t>
  </si>
  <si>
    <t>EFT-63077289</t>
  </si>
  <si>
    <t>PAY-2605-00064</t>
  </si>
  <si>
    <t>EFT-44141681</t>
  </si>
  <si>
    <t>PAY-2605-00065</t>
  </si>
  <si>
    <t>EFT-63853663</t>
  </si>
  <si>
    <t>PAY-2605-00066</t>
  </si>
  <si>
    <t>EFT-64219937</t>
  </si>
  <si>
    <t>PAY-2605-00067</t>
  </si>
  <si>
    <t>VC-633215</t>
  </si>
  <si>
    <t>PAY-2605-00068</t>
  </si>
  <si>
    <t>PAY-2605-00069</t>
  </si>
  <si>
    <t>PAY-2605-00070</t>
  </si>
  <si>
    <t>EFT-87750935</t>
  </si>
  <si>
    <t>PAY-2605-00071</t>
  </si>
  <si>
    <t>EFT-73289842</t>
  </si>
  <si>
    <t>PAY-2605-00072</t>
  </si>
  <si>
    <t>CHK-890690</t>
  </si>
  <si>
    <t>PAY-2605-00073</t>
  </si>
  <si>
    <t>EFT-65116994</t>
  </si>
  <si>
    <t>PAY-2605-00074</t>
  </si>
  <si>
    <t>CHK-172269</t>
  </si>
  <si>
    <t>PAY-2605-00075</t>
  </si>
  <si>
    <t>EFT-48930125</t>
  </si>
  <si>
    <t>PAY-2605-00076</t>
  </si>
  <si>
    <t>PAY-2605-00077</t>
  </si>
  <si>
    <t>EFT-70779559</t>
  </si>
  <si>
    <t>PAY-2605-00078</t>
  </si>
  <si>
    <t>VC-442560</t>
  </si>
  <si>
    <t>PAY-2605-00079</t>
  </si>
  <si>
    <t>EFT-94662921</t>
  </si>
  <si>
    <t>PAY-2605-00080</t>
  </si>
  <si>
    <t>EFT-72720673</t>
  </si>
  <si>
    <t>PAY-2605-00081</t>
  </si>
  <si>
    <t>EFT-60974763</t>
  </si>
  <si>
    <t>PAY-2605-00082</t>
  </si>
  <si>
    <t>EFT-16362123</t>
  </si>
  <si>
    <t>PAY-2605-00083</t>
  </si>
  <si>
    <t>EFT-95321146</t>
  </si>
  <si>
    <t>PAY-2605-00084</t>
  </si>
  <si>
    <t>PAY-2605-00085</t>
  </si>
  <si>
    <t>EFT-82070178</t>
  </si>
  <si>
    <t>PAY-2605-00086</t>
  </si>
  <si>
    <t>PAY-2605-00087</t>
  </si>
  <si>
    <t>EFT-57015295</t>
  </si>
  <si>
    <t>PAY-2605-00088</t>
  </si>
  <si>
    <t>PAY-2605-00089</t>
  </si>
  <si>
    <t>EFT-67816166</t>
  </si>
  <si>
    <t>PAY-2605-00090</t>
  </si>
  <si>
    <t>VC-472498</t>
  </si>
  <si>
    <t>PAY-2605-00091</t>
  </si>
  <si>
    <t>EFT-26305797</t>
  </si>
  <si>
    <t>PAY-2605-00092</t>
  </si>
  <si>
    <t>CHK-340314</t>
  </si>
  <si>
    <t>PAY-2605-00093</t>
  </si>
  <si>
    <t>EFT-47657418</t>
  </si>
  <si>
    <t>PAY-2605-00094</t>
  </si>
  <si>
    <t>PAY-2605-00095</t>
  </si>
  <si>
    <t>EFT-78674099</t>
  </si>
  <si>
    <t>PAY-2605-00096</t>
  </si>
  <si>
    <t>EFT-28893522</t>
  </si>
  <si>
    <t>PAY-2605-00097</t>
  </si>
  <si>
    <t>EFT-38321974</t>
  </si>
  <si>
    <t>PAY-2605-00098</t>
  </si>
  <si>
    <t>EFT-46360532</t>
  </si>
  <si>
    <t>PAY-2605-00099</t>
  </si>
  <si>
    <t>EFT-91347671</t>
  </si>
  <si>
    <t>PAY-2605-00100</t>
  </si>
  <si>
    <t>EFT-83242871</t>
  </si>
  <si>
    <t>PAY-2605-00101</t>
  </si>
  <si>
    <t>PAY-2605-00102</t>
  </si>
  <si>
    <t>EFT-64735599</t>
  </si>
  <si>
    <t>PAY-2605-00103</t>
  </si>
  <si>
    <t>VC-455621</t>
  </si>
  <si>
    <t>PAY-2605-00104</t>
  </si>
  <si>
    <t>EFT-87430798</t>
  </si>
  <si>
    <t>PAY-2605-00105</t>
  </si>
  <si>
    <t>EFT-94213927</t>
  </si>
  <si>
    <t>PAY-2605-00106</t>
  </si>
  <si>
    <t>PAY-2605-00107</t>
  </si>
  <si>
    <t>EFT-80958238</t>
  </si>
  <si>
    <t>PAY-2605-00108</t>
  </si>
  <si>
    <t>PAY-2605-00109</t>
  </si>
  <si>
    <t>EFT-45824536</t>
  </si>
  <si>
    <t>PAY-2605-00110</t>
  </si>
  <si>
    <t>EFT-10931735</t>
  </si>
  <si>
    <t>PAY-2605-00111</t>
  </si>
  <si>
    <t>EFT-83643537</t>
  </si>
  <si>
    <t>PAY-2605-00112</t>
  </si>
  <si>
    <t>EFT-75099320</t>
  </si>
  <si>
    <t>PAY-2605-00113</t>
  </si>
  <si>
    <t>EFT-10438447</t>
  </si>
  <si>
    <t>PAY-2605-00114</t>
  </si>
  <si>
    <t>EFT-52342848</t>
  </si>
  <si>
    <t>PAY-2605-00115</t>
  </si>
  <si>
    <t>EFT-60090074</t>
  </si>
  <si>
    <t>PAY-2605-00116</t>
  </si>
  <si>
    <t>EFT-84176554</t>
  </si>
  <si>
    <t>PAY-2605-00117</t>
  </si>
  <si>
    <t>EFT-74530126</t>
  </si>
  <si>
    <t>PAY-2605-00118</t>
  </si>
  <si>
    <t>EFT-78719141</t>
  </si>
  <si>
    <t>PAY-2605-00119</t>
  </si>
  <si>
    <t>CHK-771923</t>
  </si>
  <si>
    <t>PAY-2605-00120</t>
  </si>
  <si>
    <t>PAY-2605-00121</t>
  </si>
  <si>
    <t>VC-323817</t>
  </si>
  <si>
    <t>PAY-2605-00122</t>
  </si>
  <si>
    <t>VC-451183</t>
  </si>
  <si>
    <t>PAY-2605-00123</t>
  </si>
  <si>
    <t>EFT-30902264</t>
  </si>
  <si>
    <t>PAY-2605-00124</t>
  </si>
  <si>
    <t>EFT-63860534</t>
  </si>
  <si>
    <t>PAY-2605-00125</t>
  </si>
  <si>
    <t>EFT-50069017</t>
  </si>
  <si>
    <t>PAY-2605-00126</t>
  </si>
  <si>
    <t>EFT-20030293</t>
  </si>
  <si>
    <t>PAY-2605-00127</t>
  </si>
  <si>
    <t>EFT-42001560</t>
  </si>
  <si>
    <t>PAY-2605-00128</t>
  </si>
  <si>
    <t>EFT-12200924</t>
  </si>
  <si>
    <t>PAY-2605-00129</t>
  </si>
  <si>
    <t>EFT-18350251</t>
  </si>
  <si>
    <t>PAY-2605-00130</t>
  </si>
  <si>
    <t>EFT-74316534</t>
  </si>
  <si>
    <t>PAY-2605-00131</t>
  </si>
  <si>
    <t>PAY-2605-00132</t>
  </si>
  <si>
    <t>EFT-86313541</t>
  </si>
  <si>
    <t>PAY-2605-00133</t>
  </si>
  <si>
    <t>EFT-20374039</t>
  </si>
  <si>
    <t>PAY-2605-00134</t>
  </si>
  <si>
    <t>EFT-38557983</t>
  </si>
  <si>
    <t>PAY-2605-00135</t>
  </si>
  <si>
    <t>EFT-99033681</t>
  </si>
  <si>
    <t>PAY-2605-00136</t>
  </si>
  <si>
    <t>PAY-2605-00137</t>
  </si>
  <si>
    <t>VC-830544</t>
  </si>
  <si>
    <t>PAY-2605-00138</t>
  </si>
  <si>
    <t>EFT-96883007</t>
  </si>
  <si>
    <t>PAY-2605-00139</t>
  </si>
  <si>
    <t>EFT-55225853</t>
  </si>
  <si>
    <t>PAY-2605-00140</t>
  </si>
  <si>
    <t>EFT-11515338</t>
  </si>
  <si>
    <t>PAY-2605-00141</t>
  </si>
  <si>
    <t>EFT-64951073</t>
  </si>
  <si>
    <t>PAY-2605-00142</t>
  </si>
  <si>
    <t>PAY-2605-00143</t>
  </si>
  <si>
    <t>EFT-18402931</t>
  </si>
  <si>
    <t>PAY-2605-00144</t>
  </si>
  <si>
    <t>VC-660157</t>
  </si>
  <si>
    <t>PAY-2605-00145</t>
  </si>
  <si>
    <t>EFT-57660960</t>
  </si>
  <si>
    <t>PAY-2605-00146</t>
  </si>
  <si>
    <t>EFT-22504804</t>
  </si>
  <si>
    <t>PAY-2605-00147</t>
  </si>
  <si>
    <t>EFT-79963946</t>
  </si>
  <si>
    <t>PAY-2605-00148</t>
  </si>
  <si>
    <t>EFT-55092293</t>
  </si>
  <si>
    <t>PAY-2605-00149</t>
  </si>
  <si>
    <t>EFT-44694174</t>
  </si>
  <si>
    <t>PAY-2605-00150</t>
  </si>
  <si>
    <t>PAY-2605-00151</t>
  </si>
  <si>
    <t>EFT-86009792</t>
  </si>
  <si>
    <t>PAY-2605-00152</t>
  </si>
  <si>
    <t>EFT-32311239</t>
  </si>
  <si>
    <t>PAY-2605-00153</t>
  </si>
  <si>
    <t>CHK-627456</t>
  </si>
  <si>
    <t>PAY-2605-00154</t>
  </si>
  <si>
    <t>EFT-77849852</t>
  </si>
  <si>
    <t>PAY-2605-00155</t>
  </si>
  <si>
    <t>CHK-353343</t>
  </si>
  <si>
    <t>PAY-2605-00156</t>
  </si>
  <si>
    <t>EFT-99173699</t>
  </si>
  <si>
    <t>PAY-2605-00157</t>
  </si>
  <si>
    <t>EFT-54355821</t>
  </si>
  <si>
    <t>PAY-2605-00158</t>
  </si>
  <si>
    <t>PAY-2605-00159</t>
  </si>
  <si>
    <t>EFT-54811789</t>
  </si>
  <si>
    <t>PAY-2605-00160</t>
  </si>
  <si>
    <t>EFT-66825862</t>
  </si>
  <si>
    <t>PAY-2605-00161</t>
  </si>
  <si>
    <t>CHK-417783</t>
  </si>
  <si>
    <t>PAY-2605-00162</t>
  </si>
  <si>
    <t>VC-769527</t>
  </si>
  <si>
    <t>PAY-2605-00163</t>
  </si>
  <si>
    <t>EFT-86854810</t>
  </si>
  <si>
    <t>PAY-2605-00164</t>
  </si>
  <si>
    <t>EFT-39194726</t>
  </si>
  <si>
    <t>PAY-2605-00165</t>
  </si>
  <si>
    <t>EFT-13014352</t>
  </si>
  <si>
    <t>PAY-2605-00166</t>
  </si>
  <si>
    <t>EFT-14884863</t>
  </si>
  <si>
    <t>PAY-2605-00167</t>
  </si>
  <si>
    <t>EFT-79002529</t>
  </si>
  <si>
    <t>PAY-2605-00168</t>
  </si>
  <si>
    <t>CHK-570363</t>
  </si>
  <si>
    <t>PAY-2605-00169</t>
  </si>
  <si>
    <t>VC-125382</t>
  </si>
  <si>
    <t>PAY-2605-00170</t>
  </si>
  <si>
    <t>CHK-340403</t>
  </si>
  <si>
    <t>PAY-2605-00171</t>
  </si>
  <si>
    <t>VC-448653</t>
  </si>
  <si>
    <t>PAY-2605-00172</t>
  </si>
  <si>
    <t>VC-958688</t>
  </si>
  <si>
    <t>PAY-2605-00173</t>
  </si>
  <si>
    <t>EFT-13007419</t>
  </si>
  <si>
    <t>PAY-2605-00174</t>
  </si>
  <si>
    <t>EFT-57535830</t>
  </si>
  <si>
    <t>PAY-2605-00175</t>
  </si>
  <si>
    <t>EFT-89558221</t>
  </si>
  <si>
    <t>PAY-2605-00176</t>
  </si>
  <si>
    <t>EFT-82831394</t>
  </si>
  <si>
    <t>PAY-2605-00177</t>
  </si>
  <si>
    <t>EFT-20207780</t>
  </si>
  <si>
    <t>PAY-2605-00178</t>
  </si>
  <si>
    <t>EFT-30363537</t>
  </si>
  <si>
    <t>PAY-2605-00179</t>
  </si>
  <si>
    <t>VC-992073</t>
  </si>
  <si>
    <t>PAY-2605-00180</t>
  </si>
  <si>
    <t>EFT-36532304</t>
  </si>
  <si>
    <t>PAY-2605-00181</t>
  </si>
  <si>
    <t>EFT-56776177</t>
  </si>
  <si>
    <t>PAY-2605-00182</t>
  </si>
  <si>
    <t>CHK-680644</t>
  </si>
  <si>
    <t>PAY-2605-00183</t>
  </si>
  <si>
    <t>EFT-30016958</t>
  </si>
  <si>
    <t>PAY-2605-00184</t>
  </si>
  <si>
    <t>EFT-26655234</t>
  </si>
  <si>
    <t>PAY-2605-00185</t>
  </si>
  <si>
    <t>EFT-18476832</t>
  </si>
  <si>
    <t>PAY-2605-00186</t>
  </si>
  <si>
    <t>EFT-80395971</t>
  </si>
  <si>
    <t>PAY-2605-00187</t>
  </si>
  <si>
    <t>EFT-28558011</t>
  </si>
  <si>
    <t>PAY-2605-00188</t>
  </si>
  <si>
    <t>VC-791778</t>
  </si>
  <si>
    <t>PAY-2605-00189</t>
  </si>
  <si>
    <t>EFT-24239442</t>
  </si>
  <si>
    <t>PAY-2605-00190</t>
  </si>
  <si>
    <t>CHK-860898</t>
  </si>
  <si>
    <t>PAY-2605-00191</t>
  </si>
  <si>
    <t>VC-485137</t>
  </si>
  <si>
    <t>PAY-2605-00192</t>
  </si>
  <si>
    <t>CHK-709572</t>
  </si>
  <si>
    <t>PAY-2605-00193</t>
  </si>
  <si>
    <t>EFT-41376586</t>
  </si>
  <si>
    <t>PAY-2605-00194</t>
  </si>
  <si>
    <t>EFT-64636194</t>
  </si>
  <si>
    <t>PAY-2605-00195</t>
  </si>
  <si>
    <t>VC-159144</t>
  </si>
  <si>
    <t>PAY-2605-00196</t>
  </si>
  <si>
    <t>PAY-2605-00197</t>
  </si>
  <si>
    <t>EFT-23881559</t>
  </si>
  <si>
    <t>PAY-2605-00198</t>
  </si>
  <si>
    <t>EFT-60805858</t>
  </si>
  <si>
    <t>PAY-2605-00199</t>
  </si>
  <si>
    <t>EFT-11241197</t>
  </si>
  <si>
    <t>PAY-2605-00200</t>
  </si>
  <si>
    <t>VC-533690</t>
  </si>
  <si>
    <t>PAY-2605-00201</t>
  </si>
  <si>
    <t>CHK-541306</t>
  </si>
  <si>
    <t>PAY-2605-00202</t>
  </si>
  <si>
    <t>CHK-550988</t>
  </si>
  <si>
    <t>PAY-2605-00203</t>
  </si>
  <si>
    <t>CHK-715269</t>
  </si>
  <si>
    <t>PAY-2605-00204</t>
  </si>
  <si>
    <t>EFT-25146674</t>
  </si>
  <si>
    <t>PAY-2605-00205</t>
  </si>
  <si>
    <t>EFT-11120992</t>
  </si>
  <si>
    <t>PAY-2605-00206</t>
  </si>
  <si>
    <t>EFT-51155130</t>
  </si>
  <si>
    <t>PAY-2605-00207</t>
  </si>
  <si>
    <t>EFT-68667326</t>
  </si>
  <si>
    <t>PAY-2605-00208</t>
  </si>
  <si>
    <t>EFT-25304046</t>
  </si>
  <si>
    <t>PAY-2605-00209</t>
  </si>
  <si>
    <t>EFT-73102560</t>
  </si>
  <si>
    <t>PAY-2605-00210</t>
  </si>
  <si>
    <t>EFT-68496922</t>
  </si>
  <si>
    <t>PAY-2605-00211</t>
  </si>
  <si>
    <t>EFT-33339786</t>
  </si>
  <si>
    <t>PAY-2605-00212</t>
  </si>
  <si>
    <t>EFT-88928831</t>
  </si>
  <si>
    <t>PAY-2605-00213</t>
  </si>
  <si>
    <t>VC-956816</t>
  </si>
  <si>
    <t>PAY-2605-00214</t>
  </si>
  <si>
    <t>EFT-11370355</t>
  </si>
  <si>
    <t>PAY-2605-00215</t>
  </si>
  <si>
    <t>EFT-44825825</t>
  </si>
  <si>
    <t>PAY-2605-00216</t>
  </si>
  <si>
    <t>EFT-59129423</t>
  </si>
  <si>
    <t>PAY-2605-00217</t>
  </si>
  <si>
    <t>EFT-80715130</t>
  </si>
  <si>
    <t>PAY-2605-00218</t>
  </si>
  <si>
    <t>EFT-92350333</t>
  </si>
  <si>
    <t>PAY-2605-00219</t>
  </si>
  <si>
    <t>EFT-12636969</t>
  </si>
  <si>
    <t>PAY-2605-00220</t>
  </si>
  <si>
    <t>EFT-63116848</t>
  </si>
  <si>
    <t>PAY-2605-00221</t>
  </si>
  <si>
    <t>EFT-25109082</t>
  </si>
  <si>
    <t>PAY-2605-00222</t>
  </si>
  <si>
    <t>PAY-2605-00223</t>
  </si>
  <si>
    <t>VC-642162</t>
  </si>
  <si>
    <t>PAY-2605-00224</t>
  </si>
  <si>
    <t>EFT-61913314</t>
  </si>
  <si>
    <t>PAY-2605-00225</t>
  </si>
  <si>
    <t>VC-536940</t>
  </si>
  <si>
    <t>PAY-2605-00226</t>
  </si>
  <si>
    <t>VC-602191</t>
  </si>
  <si>
    <t>PAY-2605-00227</t>
  </si>
  <si>
    <t>EFT-33481013</t>
  </si>
  <si>
    <t>PAY-2605-00228</t>
  </si>
  <si>
    <t>EFT-19541247</t>
  </si>
  <si>
    <t>PAY-2605-00229</t>
  </si>
  <si>
    <t>EFT-89376090</t>
  </si>
  <si>
    <t>PAY-2605-00230</t>
  </si>
  <si>
    <t>PAY-2605-00231</t>
  </si>
  <si>
    <t>EFT-39708195</t>
  </si>
  <si>
    <t>PAY-2605-00232</t>
  </si>
  <si>
    <t>EFT-86958510</t>
  </si>
  <si>
    <t>PAY-2605-00233</t>
  </si>
  <si>
    <t>VC-332295</t>
  </si>
  <si>
    <t>PAY-2605-00234</t>
  </si>
  <si>
    <t>EFT-77779936</t>
  </si>
  <si>
    <t>PAY-2605-00235</t>
  </si>
  <si>
    <t>CHK-271517</t>
  </si>
  <si>
    <t>PAY-2605-00236</t>
  </si>
  <si>
    <t>EFT-61371061</t>
  </si>
  <si>
    <t>PAY-2605-00237</t>
  </si>
  <si>
    <t>PAY-2605-00238</t>
  </si>
  <si>
    <t>EFT-51464397</t>
  </si>
  <si>
    <t>PAY-2605-00239</t>
  </si>
  <si>
    <t>EFT-21981092</t>
  </si>
  <si>
    <t>PAY-2605-00240</t>
  </si>
  <si>
    <t>EFT-20493882</t>
  </si>
  <si>
    <t>PAY-2605-00241</t>
  </si>
  <si>
    <t>EFT-98325097</t>
  </si>
  <si>
    <t>PAY-2605-00242</t>
  </si>
  <si>
    <t>EFT-63377964</t>
  </si>
  <si>
    <t>PAY-2605-00243</t>
  </si>
  <si>
    <t>CHK-220247</t>
  </si>
  <si>
    <t>PAY-2605-00244</t>
  </si>
  <si>
    <t>EFT-43742178</t>
  </si>
  <si>
    <t>PAY-2605-00245</t>
  </si>
  <si>
    <t>EFT-21026642</t>
  </si>
  <si>
    <t>PAY-2605-00246</t>
  </si>
  <si>
    <t>EFT-83418785</t>
  </si>
  <si>
    <t>PAY-2605-00247</t>
  </si>
  <si>
    <t>EFT-70133680</t>
  </si>
  <si>
    <t>PAY-2605-00248</t>
  </si>
  <si>
    <t>VC-742600</t>
  </si>
  <si>
    <t>PAY-2605-00249</t>
  </si>
  <si>
    <t>EFT-82398037</t>
  </si>
  <si>
    <t>PAY-2605-00250</t>
  </si>
  <si>
    <t>EFT-28378006</t>
  </si>
  <si>
    <t>PAY-2605-00251</t>
  </si>
  <si>
    <t>VC-260148</t>
  </si>
  <si>
    <t>PAY-2605-00252</t>
  </si>
  <si>
    <t>VC-712420</t>
  </si>
  <si>
    <t>PAY-2605-00253</t>
  </si>
  <si>
    <t>PAY-2605-00254</t>
  </si>
  <si>
    <t>VC-521045</t>
  </si>
  <si>
    <t>PAY-2605-00255</t>
  </si>
  <si>
    <t>EFT-62905039</t>
  </si>
  <si>
    <t>PAY-2605-00256</t>
  </si>
  <si>
    <t>VC-113855</t>
  </si>
  <si>
    <t>PAY-2605-00257</t>
  </si>
  <si>
    <t>CHK-190655</t>
  </si>
  <si>
    <t>PAY-2605-00258</t>
  </si>
  <si>
    <t>CHK-598098</t>
  </si>
  <si>
    <t>PAY-2605-00259</t>
  </si>
  <si>
    <t>CHK-311517</t>
  </si>
  <si>
    <t>PAY-2605-00260</t>
  </si>
  <si>
    <t>EFT-15905467</t>
  </si>
  <si>
    <t>PAY-2605-00261</t>
  </si>
  <si>
    <t>VC-767971</t>
  </si>
  <si>
    <t>PAY-2605-00262</t>
  </si>
  <si>
    <t>EFT-50511289</t>
  </si>
  <si>
    <t>PAY-2605-00263</t>
  </si>
  <si>
    <t>VC-462008</t>
  </si>
  <si>
    <t>PAY-2605-00264</t>
  </si>
  <si>
    <t>EFT-29957555</t>
  </si>
  <si>
    <t>PAY-2605-00265</t>
  </si>
  <si>
    <t>EFT-55335821</t>
  </si>
  <si>
    <t>PAY-2605-00266</t>
  </si>
  <si>
    <t>EFT-34143804</t>
  </si>
  <si>
    <t>PAY-2605-00267</t>
  </si>
  <si>
    <t>CHK-134492</t>
  </si>
  <si>
    <t>PAY-2605-00268</t>
  </si>
  <si>
    <t>EFT-31198470</t>
  </si>
  <si>
    <t>PAY-2605-00269</t>
  </si>
  <si>
    <t>EFT-54694657</t>
  </si>
  <si>
    <t>PAY-2605-00270</t>
  </si>
  <si>
    <t>PAY-2605-00271</t>
  </si>
  <si>
    <t>EFT-37895051</t>
  </si>
  <si>
    <t>PAY-2605-00272</t>
  </si>
  <si>
    <t>EFT-90994998</t>
  </si>
  <si>
    <t>PAY-2605-00273</t>
  </si>
  <si>
    <t>VC-334133</t>
  </si>
  <si>
    <t>PAY-2605-00274</t>
  </si>
  <si>
    <t>VC-348788</t>
  </si>
  <si>
    <t>PAY-2605-00275</t>
  </si>
  <si>
    <t>EFT-56751476</t>
  </si>
  <si>
    <t>PAY-2605-00276</t>
  </si>
  <si>
    <t>CHK-901492</t>
  </si>
  <si>
    <t>PAY-2605-00277</t>
  </si>
  <si>
    <t>PAY-2605-00278</t>
  </si>
  <si>
    <t>VC-481672</t>
  </si>
  <si>
    <t>PAY-2605-00279</t>
  </si>
  <si>
    <t>EFT-96913847</t>
  </si>
  <si>
    <t>PAY-2605-00280</t>
  </si>
  <si>
    <t>EFT-14952319</t>
  </si>
  <si>
    <t>PAY-2605-00281</t>
  </si>
  <si>
    <t>EFT-33721751</t>
  </si>
  <si>
    <t>PAY-2605-00282</t>
  </si>
  <si>
    <t>EFT-12718021</t>
  </si>
  <si>
    <t>PAY-2605-00283</t>
  </si>
  <si>
    <t>PAY-2605-00284</t>
  </si>
  <si>
    <t>EFT-58703492</t>
  </si>
  <si>
    <t>PAY-2605-00285</t>
  </si>
  <si>
    <t>EFT-38941223</t>
  </si>
  <si>
    <t>PAY-2605-00286</t>
  </si>
  <si>
    <t>EFT-97020615</t>
  </si>
  <si>
    <t>PAY-2605-00287</t>
  </si>
  <si>
    <t>EFT-56473418</t>
  </si>
  <si>
    <t>PAY-2605-00288</t>
  </si>
  <si>
    <t>EFT-97854613</t>
  </si>
  <si>
    <t>PAY-2605-00289</t>
  </si>
  <si>
    <t>EFT-84044042</t>
  </si>
  <si>
    <t>PAY-2605-00290</t>
  </si>
  <si>
    <t>VC-925911</t>
  </si>
  <si>
    <t>PAY-2605-00291</t>
  </si>
  <si>
    <t>EFT-20325172</t>
  </si>
  <si>
    <t>PAY-2605-00292</t>
  </si>
  <si>
    <t>EFT-72193798</t>
  </si>
  <si>
    <t>PAY-2605-00293</t>
  </si>
  <si>
    <t>VC-672719</t>
  </si>
  <si>
    <t>PAY-2605-00294</t>
  </si>
  <si>
    <t>VC-515512</t>
  </si>
  <si>
    <t>PAY-2605-00295</t>
  </si>
  <si>
    <t>EFT-21362380</t>
  </si>
  <si>
    <t>PAY-2605-00296</t>
  </si>
  <si>
    <t>PAY-2605-00297</t>
  </si>
  <si>
    <t>EFT-86130501</t>
  </si>
  <si>
    <t>PAY-2605-00298</t>
  </si>
  <si>
    <t>EFT-43180068</t>
  </si>
  <si>
    <t>PAY-2605-00299</t>
  </si>
  <si>
    <t>EFT-62739636</t>
  </si>
  <si>
    <t>PAY-2605-00300</t>
  </si>
  <si>
    <t>EFT-26291799</t>
  </si>
  <si>
    <t>PAY-2605-00301</t>
  </si>
  <si>
    <t>EFT-48106159</t>
  </si>
  <si>
    <t>PAY-2605-00302</t>
  </si>
  <si>
    <t>EFT-27590688</t>
  </si>
  <si>
    <t>PAY-2605-00303</t>
  </si>
  <si>
    <t>EFT-63033012</t>
  </si>
  <si>
    <t>PAY-2605-00304</t>
  </si>
  <si>
    <t>EFT-19889989</t>
  </si>
  <si>
    <t>PAY-2605-00305</t>
  </si>
  <si>
    <t>VC-949591</t>
  </si>
  <si>
    <t>PAY-2605-00306</t>
  </si>
  <si>
    <t>EFT-44902919</t>
  </si>
  <si>
    <t>PAY-2605-00307</t>
  </si>
  <si>
    <t>EFT-69511438</t>
  </si>
  <si>
    <t>PAY-2605-00308</t>
  </si>
  <si>
    <t>CHK-311896</t>
  </si>
  <si>
    <t>PAY-2605-00309</t>
  </si>
  <si>
    <t>VC-592641</t>
  </si>
  <si>
    <t>PAY-2605-00310</t>
  </si>
  <si>
    <t>VC-631567</t>
  </si>
  <si>
    <t>PAY-2605-00311</t>
  </si>
  <si>
    <t>CHK-667963</t>
  </si>
  <si>
    <t>PAY-2605-00312</t>
  </si>
  <si>
    <t>EFT-82100765</t>
  </si>
  <si>
    <t>PAY-2605-00313</t>
  </si>
  <si>
    <t>EFT-77768013</t>
  </si>
  <si>
    <t>PAY-2605-00314</t>
  </si>
  <si>
    <t>EFT-22121880</t>
  </si>
  <si>
    <t>PAY-2605-00315</t>
  </si>
  <si>
    <t>EFT-63753818</t>
  </si>
  <si>
    <t>PAY-2605-00316</t>
  </si>
  <si>
    <t>EFT-95532978</t>
  </si>
  <si>
    <t>PAY-2605-00317</t>
  </si>
  <si>
    <t>EFT-76502418</t>
  </si>
  <si>
    <t>PAY-2605-00318</t>
  </si>
  <si>
    <t>PAY-2605-00319</t>
  </si>
  <si>
    <t>EFT-67590033</t>
  </si>
  <si>
    <t>PAY-2605-00320</t>
  </si>
  <si>
    <t>EFT-94229359</t>
  </si>
  <si>
    <t>PAY-2605-00321</t>
  </si>
  <si>
    <t>CHK-227207</t>
  </si>
  <si>
    <t>PAY-2605-00322</t>
  </si>
  <si>
    <t>CHK-946073</t>
  </si>
  <si>
    <t>PAY-2605-00323</t>
  </si>
  <si>
    <t>EFT-10813753</t>
  </si>
  <si>
    <t>PAY-2605-00324</t>
  </si>
  <si>
    <t>CHK-293999</t>
  </si>
  <si>
    <t>PAY-2605-00325</t>
  </si>
  <si>
    <t>EFT-12104610</t>
  </si>
  <si>
    <t>PAY-2605-00326</t>
  </si>
  <si>
    <t>EFT-90340684</t>
  </si>
  <si>
    <t>PAY-2605-00327</t>
  </si>
  <si>
    <t>PAY-2605-00328</t>
  </si>
  <si>
    <t>CHK-129632</t>
  </si>
  <si>
    <t>PAY-2605-00329</t>
  </si>
  <si>
    <t>EFT-34506441</t>
  </si>
  <si>
    <t>PAY-2605-00330</t>
  </si>
  <si>
    <t>EFT-14740770</t>
  </si>
  <si>
    <t>PAY-2605-00331</t>
  </si>
  <si>
    <t>EFT-15262335</t>
  </si>
  <si>
    <t>PAY-2605-00332</t>
  </si>
  <si>
    <t>CHK-108572</t>
  </si>
  <si>
    <t>PAY-2605-00333</t>
  </si>
  <si>
    <t>EFT-78298992</t>
  </si>
  <si>
    <t>PAY-2605-00334</t>
  </si>
  <si>
    <t>EFT-36583945</t>
  </si>
  <si>
    <t>PAY-2605-00335</t>
  </si>
  <si>
    <t>CHK-345563</t>
  </si>
  <si>
    <t>PAY-2605-00336</t>
  </si>
  <si>
    <t>CHK-236617</t>
  </si>
  <si>
    <t>PAY-2605-00337</t>
  </si>
  <si>
    <t>EFT-79410559</t>
  </si>
  <si>
    <t>PAY-2605-00338</t>
  </si>
  <si>
    <t>EFT-92587379</t>
  </si>
  <si>
    <t>PAY-2605-00339</t>
  </si>
  <si>
    <t>PAY-2605-00340</t>
  </si>
  <si>
    <t>VC-121350</t>
  </si>
  <si>
    <t>PAY-2605-00341</t>
  </si>
  <si>
    <t>EFT-10940096</t>
  </si>
  <si>
    <t>PAY-2605-00342</t>
  </si>
  <si>
    <t>EFT-93955712</t>
  </si>
  <si>
    <t>PAY-2605-00343</t>
  </si>
  <si>
    <t>EFT-52911797</t>
  </si>
  <si>
    <t>PAY-2605-00344</t>
  </si>
  <si>
    <t>EFT-83913194</t>
  </si>
  <si>
    <t>PAY-2605-00345</t>
  </si>
  <si>
    <t>EFT-70327924</t>
  </si>
  <si>
    <t>PAY-2605-00346</t>
  </si>
  <si>
    <t>EFT-20206112</t>
  </si>
  <si>
    <t>PAY-2605-00347</t>
  </si>
  <si>
    <t>VC-352148</t>
  </si>
  <si>
    <t>PAY-2605-00348</t>
  </si>
  <si>
    <t>EFT-81692373</t>
  </si>
  <si>
    <t>PAY-2605-00349</t>
  </si>
  <si>
    <t>EFT-44848654</t>
  </si>
  <si>
    <t>PAY-2605-00350</t>
  </si>
  <si>
    <t>EFT-98003938</t>
  </si>
  <si>
    <t>PAY-2605-00351</t>
  </si>
  <si>
    <t>EFT-52767297</t>
  </si>
  <si>
    <t>PAY-2605-00352</t>
  </si>
  <si>
    <t>EFT-65082434</t>
  </si>
  <si>
    <t>PAY-2605-00353</t>
  </si>
  <si>
    <t>CHK-702982</t>
  </si>
  <si>
    <t>PAY-2605-00354</t>
  </si>
  <si>
    <t>PAY-2605-00355</t>
  </si>
  <si>
    <t>PAY-2605-00356</t>
  </si>
  <si>
    <t>VC-520522</t>
  </si>
  <si>
    <t>PAY-2605-00357</t>
  </si>
  <si>
    <t>EFT-36253216</t>
  </si>
  <si>
    <t>PAY-2605-00358</t>
  </si>
  <si>
    <t>EFT-77799229</t>
  </si>
  <si>
    <t>PAY-2605-00359</t>
  </si>
  <si>
    <t>EFT-65813316</t>
  </si>
  <si>
    <t>PAY-2605-00360</t>
  </si>
  <si>
    <t>EFT-95801903</t>
  </si>
  <si>
    <t>PAY-2605-00361</t>
  </si>
  <si>
    <t>PAY-2605-00362</t>
  </si>
  <si>
    <t>PAY-2605-00363</t>
  </si>
  <si>
    <t>CHK-650077</t>
  </si>
  <si>
    <t>PAY-2605-00364</t>
  </si>
  <si>
    <t>VC-922857</t>
  </si>
  <si>
    <t>PAY-2605-00365</t>
  </si>
  <si>
    <t>VC-196734</t>
  </si>
  <si>
    <t>PAY-2605-00366</t>
  </si>
  <si>
    <t>EFT-85929711</t>
  </si>
  <si>
    <t>PAY-2605-00367</t>
  </si>
  <si>
    <t>EFT-81011699</t>
  </si>
  <si>
    <t>PAY-2605-00368</t>
  </si>
  <si>
    <t>VC-127869</t>
  </si>
  <si>
    <t>PAY-2605-00369</t>
  </si>
  <si>
    <t>PAY-2605-00370</t>
  </si>
  <si>
    <t>VC-190740</t>
  </si>
  <si>
    <t>PAY-2605-00371</t>
  </si>
  <si>
    <t>EFT-14458423</t>
  </si>
  <si>
    <t>PAY-2605-00372</t>
  </si>
  <si>
    <t>PAY-2605-00373</t>
  </si>
  <si>
    <t>EFT-15578851</t>
  </si>
  <si>
    <t>PAY-2605-00374</t>
  </si>
  <si>
    <t>EFT-75249374</t>
  </si>
  <si>
    <t>PAY-2605-00375</t>
  </si>
  <si>
    <t>VC-207437</t>
  </si>
  <si>
    <t>PAY-2605-00376</t>
  </si>
  <si>
    <t>EFT-27595529</t>
  </si>
  <si>
    <t>PAY-2605-00377</t>
  </si>
  <si>
    <t>EFT-35471858</t>
  </si>
  <si>
    <t>PAY-2605-00378</t>
  </si>
  <si>
    <t>VC-988959</t>
  </si>
  <si>
    <t>PAY-2605-00379</t>
  </si>
  <si>
    <t>EFT-78327552</t>
  </si>
  <si>
    <t>PAY-2605-00380</t>
  </si>
  <si>
    <t>EFT-26152522</t>
  </si>
  <si>
    <t>PAY-2605-00381</t>
  </si>
  <si>
    <t>CHK-382677</t>
  </si>
  <si>
    <t>PAY-2605-00382</t>
  </si>
  <si>
    <t>EFT-27414716</t>
  </si>
  <si>
    <t>PAY-2605-00383</t>
  </si>
  <si>
    <t>EFT-14998970</t>
  </si>
  <si>
    <t>PAY-2605-00384</t>
  </si>
  <si>
    <t>EFT-26731446</t>
  </si>
  <si>
    <t>PAY-2605-00385</t>
  </si>
  <si>
    <t>PAY-2605-00386</t>
  </si>
  <si>
    <t>VC-766884</t>
  </si>
  <si>
    <t>PAY-2605-00387</t>
  </si>
  <si>
    <t>VC-106785</t>
  </si>
  <si>
    <t>PAY-2605-00388</t>
  </si>
  <si>
    <t>PAY-2605-00389</t>
  </si>
  <si>
    <t>EFT-73827829</t>
  </si>
  <si>
    <t>PAY-2605-00390</t>
  </si>
  <si>
    <t>VC-677043</t>
  </si>
  <si>
    <t>PAY-2605-00391</t>
  </si>
  <si>
    <t>EFT-87654168</t>
  </si>
  <si>
    <t>PAY-2605-00392</t>
  </si>
  <si>
    <t>CHK-764335</t>
  </si>
  <si>
    <t>PAY-2605-00393</t>
  </si>
  <si>
    <t>EFT-99966433</t>
  </si>
  <si>
    <t>PAY-2605-00394</t>
  </si>
  <si>
    <t>PAY-2605-00395</t>
  </si>
  <si>
    <t>EFT-27745349</t>
  </si>
  <si>
    <t>PAY-2605-00396</t>
  </si>
  <si>
    <t>VC-717695</t>
  </si>
  <si>
    <t>PAY-2605-00397</t>
  </si>
  <si>
    <t>EFT-88654303</t>
  </si>
  <si>
    <t>PAY-2605-00398</t>
  </si>
  <si>
    <t>EFT-25928218</t>
  </si>
  <si>
    <t>PAY-2605-00399</t>
  </si>
  <si>
    <t>CHK-114866</t>
  </si>
  <si>
    <t>PAY-2605-00400</t>
  </si>
  <si>
    <t>EFT-40408704</t>
  </si>
  <si>
    <t>PAY-2605-00401</t>
  </si>
  <si>
    <t>CHK-288421</t>
  </si>
  <si>
    <t>PAY-2605-00402</t>
  </si>
  <si>
    <t>EFT-27988385</t>
  </si>
  <si>
    <t>PAY-2605-00403</t>
  </si>
  <si>
    <t>CHK-469321</t>
  </si>
  <si>
    <t>PAY-2605-00404</t>
  </si>
  <si>
    <t>CHK-228019</t>
  </si>
  <si>
    <t>PAY-2605-00405</t>
  </si>
  <si>
    <t>EFT-90851542</t>
  </si>
  <si>
    <t>PAY-2605-00406</t>
  </si>
  <si>
    <t>EFT-31724848</t>
  </si>
  <si>
    <t>PAY-2605-00407</t>
  </si>
  <si>
    <t>CHK-200935</t>
  </si>
  <si>
    <t>PAY-2605-00408</t>
  </si>
  <si>
    <t>CHK-574576</t>
  </si>
  <si>
    <t>PAY-2605-00409</t>
  </si>
  <si>
    <t>EFT-28808621</t>
  </si>
  <si>
    <t>PAY-2605-00410</t>
  </si>
  <si>
    <t>EFT-53218552</t>
  </si>
  <si>
    <t>PAY-2605-00411</t>
  </si>
  <si>
    <t>EFT-87411558</t>
  </si>
  <si>
    <t>PAY-2605-00412</t>
  </si>
  <si>
    <t>EFT-39031402</t>
  </si>
  <si>
    <t>PAY-2605-00413</t>
  </si>
  <si>
    <t>CHK-649710</t>
  </si>
  <si>
    <t>PAY-2605-00414</t>
  </si>
  <si>
    <t>EFT-24958390</t>
  </si>
  <si>
    <t>PAY-2605-00415</t>
  </si>
  <si>
    <t>EFT-76054932</t>
  </si>
  <si>
    <t>PAY-2605-00416</t>
  </si>
  <si>
    <t>EFT-42342164</t>
  </si>
  <si>
    <t>PAY-2605-00417</t>
  </si>
  <si>
    <t>CHK-645363</t>
  </si>
  <si>
    <t>PAY-2605-00418</t>
  </si>
  <si>
    <t>VC-622441</t>
  </si>
  <si>
    <t>PAY-2605-00419</t>
  </si>
  <si>
    <t>CHK-568612</t>
  </si>
  <si>
    <t>PAY-2605-00420</t>
  </si>
  <si>
    <t>EFT-98720638</t>
  </si>
  <si>
    <t>PAY-2605-00421</t>
  </si>
  <si>
    <t>EFT-28029035</t>
  </si>
  <si>
    <t>PAY-2605-00422</t>
  </si>
  <si>
    <t>VC-201379</t>
  </si>
  <si>
    <t>PAY-2605-00423</t>
  </si>
  <si>
    <t>CHK-914016</t>
  </si>
  <si>
    <t>PAY-2605-00424</t>
  </si>
  <si>
    <t>EFT-53850903</t>
  </si>
  <si>
    <t>PAY-2605-00425</t>
  </si>
  <si>
    <t>EFT-32448362</t>
  </si>
  <si>
    <t>PAY-2605-00426</t>
  </si>
  <si>
    <t>PAY-2605-00427</t>
  </si>
  <si>
    <t>EFT-90685228</t>
  </si>
  <si>
    <t>PAY-2605-00428</t>
  </si>
  <si>
    <t>VC-135573</t>
  </si>
  <si>
    <t>PAY-2605-00429</t>
  </si>
  <si>
    <t>EFT-70661129</t>
  </si>
  <si>
    <t>PAY-2605-00430</t>
  </si>
  <si>
    <t>CHK-410184</t>
  </si>
  <si>
    <t>ItemID</t>
  </si>
  <si>
    <t>Workstream</t>
  </si>
  <si>
    <t>Owner</t>
  </si>
  <si>
    <t>Related ProviderID</t>
  </si>
  <si>
    <t>Related Claim/Payment ID</t>
  </si>
  <si>
    <t>Created Date</t>
  </si>
  <si>
    <t>Due Date</t>
  </si>
  <si>
    <t>Priority</t>
  </si>
  <si>
    <t>Next Step</t>
  </si>
  <si>
    <t>DL-2605-0001</t>
  </si>
  <si>
    <t>Remittance Reconciliation</t>
  </si>
  <si>
    <t>A. Patel</t>
  </si>
  <si>
    <t>Low</t>
  </si>
  <si>
    <t>Waiting</t>
  </si>
  <si>
    <t>Queue for high-dollar review</t>
  </si>
  <si>
    <t>DL-2605-0002</t>
  </si>
  <si>
    <t>Claims Adjudication</t>
  </si>
  <si>
    <t>J. Nguyen</t>
  </si>
  <si>
    <t>High</t>
  </si>
  <si>
    <t>In Progress</t>
  </si>
  <si>
    <t>Contact provider for updated banking info</t>
  </si>
  <si>
    <t>DL-2605-0003</t>
  </si>
  <si>
    <t>Appeals</t>
  </si>
  <si>
    <t>L. Chen</t>
  </si>
  <si>
    <t>Send appeal determination letter</t>
  </si>
  <si>
    <t>DL-2605-0004</t>
  </si>
  <si>
    <t>Medium</t>
  </si>
  <si>
    <t>DL-2605-0005</t>
  </si>
  <si>
    <t>Provider Payment Holds</t>
  </si>
  <si>
    <t>Closed</t>
  </si>
  <si>
    <t>DL-2605-0006</t>
  </si>
  <si>
    <t>Banking Validation</t>
  </si>
  <si>
    <t>M. Johnson</t>
  </si>
  <si>
    <t>Open</t>
  </si>
  <si>
    <t>DL-2605-0007</t>
  </si>
  <si>
    <t>Escalate to payment operations</t>
  </si>
  <si>
    <t>DL-2605-0008</t>
  </si>
  <si>
    <t>Validate remittance advice</t>
  </si>
  <si>
    <t>DL-2605-0009</t>
  </si>
  <si>
    <t>S. Rivera</t>
  </si>
  <si>
    <t>Request missing documentation</t>
  </si>
  <si>
    <t>DL-2605-0010</t>
  </si>
  <si>
    <t>K. Thompson</t>
  </si>
  <si>
    <t>DL-2605-0011</t>
  </si>
  <si>
    <t>DL-2605-0012</t>
  </si>
  <si>
    <t>Overpayment Recovery</t>
  </si>
  <si>
    <t>DL-2605-0013</t>
  </si>
  <si>
    <t>DL-2605-0014</t>
  </si>
  <si>
    <t>DL-2605-0015</t>
  </si>
  <si>
    <t>DL-2605-0016</t>
  </si>
  <si>
    <t>DL-2605-0017</t>
  </si>
  <si>
    <t>DL-2605-0018</t>
  </si>
  <si>
    <t>DL-2605-0019</t>
  </si>
  <si>
    <t>DL-2605-0020</t>
  </si>
  <si>
    <t>DL-2605-0021</t>
  </si>
  <si>
    <t>DL-2605-0022</t>
  </si>
  <si>
    <t>DL-2605-0023</t>
  </si>
  <si>
    <t>DL-2605-0024</t>
  </si>
  <si>
    <t>DL-2605-0025</t>
  </si>
  <si>
    <t>DL-2605-0026</t>
  </si>
  <si>
    <t>DL-2605-0027</t>
  </si>
  <si>
    <t>DL-2605-0028</t>
  </si>
  <si>
    <t>DL-2605-0029</t>
  </si>
  <si>
    <t>DL-2605-0030</t>
  </si>
  <si>
    <t>DL-2605-0031</t>
  </si>
  <si>
    <t>DL-2605-0032</t>
  </si>
  <si>
    <t>DL-2605-0033</t>
  </si>
  <si>
    <t>DL-2605-0034</t>
  </si>
  <si>
    <t>DL-2605-0035</t>
  </si>
  <si>
    <t>DL-2605-0036</t>
  </si>
  <si>
    <t>DL-2605-0037</t>
  </si>
  <si>
    <t>DL-2605-0038</t>
  </si>
  <si>
    <t>DL-2605-0039</t>
  </si>
  <si>
    <t>DL-2605-0040</t>
  </si>
  <si>
    <t>DL-2605-0041</t>
  </si>
  <si>
    <t>DL-2605-0042</t>
  </si>
  <si>
    <t>DL-2605-0043</t>
  </si>
  <si>
    <t>DL-2605-0044</t>
  </si>
  <si>
    <t>DL-2605-0045</t>
  </si>
  <si>
    <t>DL-2605-0046</t>
  </si>
  <si>
    <t>DL-2605-0047</t>
  </si>
  <si>
    <t>DL-2605-0048</t>
  </si>
  <si>
    <t>DL-2605-0049</t>
  </si>
  <si>
    <t>DL-2605-0050</t>
  </si>
  <si>
    <t>DL-2605-0051</t>
  </si>
  <si>
    <t>DL-2605-0052</t>
  </si>
  <si>
    <t>DL-2605-0053</t>
  </si>
  <si>
    <t>DL-2605-0054</t>
  </si>
  <si>
    <t>DL-2605-0055</t>
  </si>
  <si>
    <t>DL-2605-0056</t>
  </si>
  <si>
    <t>DL-2605-0057</t>
  </si>
  <si>
    <t>DL-2605-0058</t>
  </si>
  <si>
    <t>DL-2605-0059</t>
  </si>
  <si>
    <t>DL-2605-0060</t>
  </si>
  <si>
    <t>DL-2605-0061</t>
  </si>
  <si>
    <t>DL-2605-0062</t>
  </si>
  <si>
    <t>DL-2605-0063</t>
  </si>
  <si>
    <t>DL-2605-0064</t>
  </si>
  <si>
    <t>DL-2605-0065</t>
  </si>
  <si>
    <t>DL-2605-0066</t>
  </si>
  <si>
    <t>DL-2605-0067</t>
  </si>
  <si>
    <t>DL-2605-0068</t>
  </si>
  <si>
    <t>DL-2605-0069</t>
  </si>
  <si>
    <t>DL-2605-0070</t>
  </si>
  <si>
    <t>DL-2605-0071</t>
  </si>
  <si>
    <t>DL-2605-0072</t>
  </si>
  <si>
    <t>DL-2605-0073</t>
  </si>
  <si>
    <t>DL-2605-0074</t>
  </si>
  <si>
    <t>DL-2605-0075</t>
  </si>
  <si>
    <t>DL-2605-0076</t>
  </si>
  <si>
    <t>DL-2605-0077</t>
  </si>
  <si>
    <t>DL-2605-0078</t>
  </si>
  <si>
    <t>DL-2605-0079</t>
  </si>
  <si>
    <t>DL-2605-0080</t>
  </si>
  <si>
    <t>DL-2605-0081</t>
  </si>
  <si>
    <t>DL-2605-0082</t>
  </si>
  <si>
    <t>DL-2605-0083</t>
  </si>
  <si>
    <t>DL-2605-0084</t>
  </si>
  <si>
    <t>DL-2605-0085</t>
  </si>
  <si>
    <t>DL-2605-0086</t>
  </si>
  <si>
    <t>DL-2605-0087</t>
  </si>
  <si>
    <t>DL-2605-0088</t>
  </si>
  <si>
    <t>DL-2605-0089</t>
  </si>
  <si>
    <t>DL-2605-0090</t>
  </si>
  <si>
    <t>DL-2605-0091</t>
  </si>
  <si>
    <t>DL-2605-0092</t>
  </si>
  <si>
    <t>DL-2605-0093</t>
  </si>
  <si>
    <t>DL-2605-0094</t>
  </si>
  <si>
    <t>DL-2605-0095</t>
  </si>
  <si>
    <t>DL-2605-0096</t>
  </si>
  <si>
    <t>DL-2605-0097</t>
  </si>
  <si>
    <t>DL-2605-0098</t>
  </si>
  <si>
    <t>DL-2605-0099</t>
  </si>
  <si>
    <t>DL-2605-0100</t>
  </si>
  <si>
    <t>DL-2605-0101</t>
  </si>
  <si>
    <t>DL-2605-0102</t>
  </si>
  <si>
    <t>DL-2605-0103</t>
  </si>
  <si>
    <t>DL-2605-0104</t>
  </si>
  <si>
    <t>DL-2605-0105</t>
  </si>
  <si>
    <t>DL-2605-0106</t>
  </si>
  <si>
    <t>DL-2605-0107</t>
  </si>
  <si>
    <t>DL-2605-0108</t>
  </si>
  <si>
    <t>DL-2605-0109</t>
  </si>
  <si>
    <t>DL-2605-0110</t>
  </si>
  <si>
    <t>DL-2605-0111</t>
  </si>
  <si>
    <t>DL-2605-0112</t>
  </si>
  <si>
    <t>DL-2605-0113</t>
  </si>
  <si>
    <t>DL-2605-0114</t>
  </si>
  <si>
    <t>DL-2605-0115</t>
  </si>
  <si>
    <t>DL-2605-0116</t>
  </si>
  <si>
    <t>DL-2605-0117</t>
  </si>
  <si>
    <t>DL-2605-0118</t>
  </si>
  <si>
    <t>DL-2605-0119</t>
  </si>
  <si>
    <t>DL-2605-0120</t>
  </si>
  <si>
    <t>DL-2605-0121</t>
  </si>
  <si>
    <t>DL-2605-0122</t>
  </si>
  <si>
    <t>DL-2605-0123</t>
  </si>
  <si>
    <t>DL-2605-0124</t>
  </si>
  <si>
    <t>DL-2605-0125</t>
  </si>
  <si>
    <t>DL-2605-0126</t>
  </si>
  <si>
    <t>DL-2605-0127</t>
  </si>
  <si>
    <t>DL-2605-0128</t>
  </si>
  <si>
    <t>DL-2605-0129</t>
  </si>
  <si>
    <t>DL-2605-0130</t>
  </si>
  <si>
    <t>DL-2605-0131</t>
  </si>
  <si>
    <t>DL-2605-0132</t>
  </si>
  <si>
    <t>DL-2605-0133</t>
  </si>
  <si>
    <t>DL-2605-0134</t>
  </si>
  <si>
    <t>DL-2605-0135</t>
  </si>
  <si>
    <t>DL-2605-0136</t>
  </si>
  <si>
    <t>DL-2605-0137</t>
  </si>
  <si>
    <t>DL-2605-0138</t>
  </si>
  <si>
    <t>DL-2605-0139</t>
  </si>
  <si>
    <t>DL-2605-0140</t>
  </si>
  <si>
    <t>DL-2605-0141</t>
  </si>
  <si>
    <t>DL-2605-0142</t>
  </si>
  <si>
    <t>DL-2605-0143</t>
  </si>
  <si>
    <t>DL-2605-0144</t>
  </si>
  <si>
    <t>DL-2605-0145</t>
  </si>
  <si>
    <t>DL-2605-0146</t>
  </si>
  <si>
    <t>DL-2605-0147</t>
  </si>
  <si>
    <t>DL-2605-0148</t>
  </si>
  <si>
    <t>DL-2605-0149</t>
  </si>
  <si>
    <t>DL-2605-0150</t>
  </si>
  <si>
    <t>DL-2605-0151</t>
  </si>
  <si>
    <t>DL-2605-0152</t>
  </si>
  <si>
    <t>DL-2605-0153</t>
  </si>
  <si>
    <t>DL-2605-0154</t>
  </si>
  <si>
    <t>DL-2605-0155</t>
  </si>
  <si>
    <t>DL-2605-0156</t>
  </si>
  <si>
    <t>DL-2605-0157</t>
  </si>
  <si>
    <t>DL-2605-0158</t>
  </si>
  <si>
    <t>DL-2605-0159</t>
  </si>
  <si>
    <t>DL-2605-0160</t>
  </si>
  <si>
    <t>DL-2605-0161</t>
  </si>
  <si>
    <t>DL-2605-0162</t>
  </si>
  <si>
    <t>DL-2605-0163</t>
  </si>
  <si>
    <t>DL-2605-0164</t>
  </si>
  <si>
    <t>DL-2605-0165</t>
  </si>
  <si>
    <t>DL-2605-0166</t>
  </si>
  <si>
    <t>DL-2605-0167</t>
  </si>
  <si>
    <t>DL-2605-0168</t>
  </si>
  <si>
    <t>DL-2605-0169</t>
  </si>
  <si>
    <t>DL-2605-0170</t>
  </si>
  <si>
    <t>DL-2605-0171</t>
  </si>
  <si>
    <t>DL-2605-0172</t>
  </si>
  <si>
    <t>DL-2605-0173</t>
  </si>
  <si>
    <t>DL-2605-0174</t>
  </si>
  <si>
    <t>DL-2605-0175</t>
  </si>
  <si>
    <t>DL-2605-0176</t>
  </si>
  <si>
    <t>DL-2605-0177</t>
  </si>
  <si>
    <t>DL-2605-0178</t>
  </si>
  <si>
    <t>DL-2605-0179</t>
  </si>
  <si>
    <t>DL-2605-0180</t>
  </si>
  <si>
    <t>DL-2605-0181</t>
  </si>
  <si>
    <t>DL-2605-0182</t>
  </si>
  <si>
    <t>DL-2605-0183</t>
  </si>
  <si>
    <t>DL-2605-0184</t>
  </si>
  <si>
    <t>DL-2605-0185</t>
  </si>
  <si>
    <t>DL-2605-0186</t>
  </si>
  <si>
    <t>DL-2605-0187</t>
  </si>
  <si>
    <t>DL-2605-0188</t>
  </si>
  <si>
    <t>DL-2605-0189</t>
  </si>
  <si>
    <t>DL-2605-0190</t>
  </si>
  <si>
    <t>DL-2605-0191</t>
  </si>
  <si>
    <t>DL-2605-0192</t>
  </si>
  <si>
    <t>DL-2605-0193</t>
  </si>
  <si>
    <t>DL-2605-0194</t>
  </si>
  <si>
    <t>DL-2605-0195</t>
  </si>
  <si>
    <t>DL-2605-0196</t>
  </si>
  <si>
    <t>DL-2605-0197</t>
  </si>
  <si>
    <t>DL-2605-0198</t>
  </si>
  <si>
    <t>DL-2605-0199</t>
  </si>
  <si>
    <t>DL-2605-0200</t>
  </si>
  <si>
    <t>DL-2605-0201</t>
  </si>
  <si>
    <t>DL-2605-0202</t>
  </si>
  <si>
    <t>DL-2605-0203</t>
  </si>
  <si>
    <t>DL-2605-0204</t>
  </si>
  <si>
    <t>DL-2605-0205</t>
  </si>
  <si>
    <t>DL-2605-0206</t>
  </si>
  <si>
    <t>DL-2605-0207</t>
  </si>
  <si>
    <t>DL-2605-0208</t>
  </si>
  <si>
    <t>DL-2605-0209</t>
  </si>
  <si>
    <t>DL-2605-0210</t>
  </si>
  <si>
    <t>DL-2605-0211</t>
  </si>
  <si>
    <t>DL-2605-0212</t>
  </si>
  <si>
    <t>DL-2605-0213</t>
  </si>
  <si>
    <t>DL-2605-0214</t>
  </si>
  <si>
    <t>DL-2605-0215</t>
  </si>
  <si>
    <t>DL-2605-0216</t>
  </si>
  <si>
    <t>DL-2605-0217</t>
  </si>
  <si>
    <t>DL-2605-0218</t>
  </si>
  <si>
    <t>DL-2605-0219</t>
  </si>
  <si>
    <t>DL-2605-0220</t>
  </si>
  <si>
    <t>DL-2605-0221</t>
  </si>
  <si>
    <t>DL-2605-0222</t>
  </si>
  <si>
    <t>DL-2605-0223</t>
  </si>
  <si>
    <t>DL-2605-0224</t>
  </si>
  <si>
    <t>DL-2605-0225</t>
  </si>
  <si>
    <t>DL-2605-0226</t>
  </si>
  <si>
    <t>DL-2605-0227</t>
  </si>
  <si>
    <t>DL-2605-0228</t>
  </si>
  <si>
    <t>DL-2605-0229</t>
  </si>
  <si>
    <t>DL-2605-0230</t>
  </si>
  <si>
    <t>DL-2605-0231</t>
  </si>
  <si>
    <t>DL-2605-0232</t>
  </si>
  <si>
    <t>DL-2605-0233</t>
  </si>
  <si>
    <t>DL-2605-0234</t>
  </si>
  <si>
    <t>DL-2605-0235</t>
  </si>
  <si>
    <t>DL-2605-0236</t>
  </si>
  <si>
    <t>DL-2605-0237</t>
  </si>
  <si>
    <t>DL-2605-0238</t>
  </si>
  <si>
    <t>DL-2605-0239</t>
  </si>
  <si>
    <t>DL-2605-0240</t>
  </si>
  <si>
    <t>DL-2605-0241</t>
  </si>
  <si>
    <t>DL-2605-0242</t>
  </si>
  <si>
    <t>DL-2605-0243</t>
  </si>
  <si>
    <t>DL-2605-0244</t>
  </si>
  <si>
    <t>DL-2605-0245</t>
  </si>
  <si>
    <t>DL-2605-0246</t>
  </si>
  <si>
    <t>DL-2605-0247</t>
  </si>
  <si>
    <t>DL-2605-0248</t>
  </si>
  <si>
    <t>DL-2605-0249</t>
  </si>
  <si>
    <t>DL-2605-0250</t>
  </si>
  <si>
    <t>DL-2605-0251</t>
  </si>
  <si>
    <t>DL-2605-0252</t>
  </si>
  <si>
    <t>DL-2605-0253</t>
  </si>
  <si>
    <t>DL-2605-0254</t>
  </si>
  <si>
    <t>DL-2605-0255</t>
  </si>
  <si>
    <t>DL-2605-0256</t>
  </si>
  <si>
    <t>DL-2605-0257</t>
  </si>
  <si>
    <t>DL-2605-0258</t>
  </si>
  <si>
    <t>DL-2605-0259</t>
  </si>
  <si>
    <t>DL-2605-0260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</si>
</sst>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"/>
    <numFmt numFmtId="165" formatCode="yyyy\-mm\-dd"/>
  </numFmts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6"/>
      <name val="Calibri"/>
    </font>
    <font>
      <b/>
      <sz val="12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0" xfId="0" applyAlignment="1">
      <alignment wrapText="1"/>
    </xf>
    <xf numFmtId="0" fontId="1" fillId="2" borderId="0" xfId="0" applyFont="1" applyFill="1" applyAlignment="1">
      <alignment horizontal="center" vertical="center" wrapText="1"/>
    </xf>
    <xf numFmtId="164" fontId="0" fillId="0" borderId="0" xfId="0" applyNumberFormat="1"/>
    <xf numFmtId="10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4">
    <dxf>
      <fill>
        <patternFill patternType="solid">
          <fgColor rgb="FFFCE4D6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8CBAD"/>
        </patternFill>
      </fill>
    </dxf>
    <dxf>
      <fill>
        <patternFill patternType="solid">
          <fgColor rgb="FFFFF2C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MonthlySummary" displayName="tblMonthlySummary" ref="A1:F6">
  <autoFilter ref="A1:F6" xr:uid="{00000000-0009-0000-0100-000001000000}"/>
  <tableColumns count="6">
    <tableColumn id="1" xr3:uid="{00000000-0010-0000-0000-000001000000}" name="Month"/>
    <tableColumn id="2" xr3:uid="{00000000-0010-0000-0000-000002000000}" name="Premium Revenue ($)"/>
    <tableColumn id="3" xr3:uid="{00000000-0010-0000-0000-000003000000}" name="Claims Paid ($)"/>
    <tableColumn id="4" xr3:uid="{00000000-0010-0000-0000-000004000000}" name="Admin Costs ($)"/>
    <tableColumn id="5" xr3:uid="{00000000-0010-0000-0000-000005000000}" name="Net Income ($)"/>
    <tableColumn id="6" xr3:uid="{00000000-0010-0000-0000-000006000000}" name="Medical Loss Ratio (MLR)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Providers" displayName="tblProviders" ref="A1:J181">
  <autoFilter ref="A1:J181" xr:uid="{00000000-0009-0000-0100-000002000000}"/>
  <tableColumns count="10">
    <tableColumn id="1" xr3:uid="{00000000-0010-0000-0100-000001000000}" name="ProviderID"/>
    <tableColumn id="2" xr3:uid="{00000000-0010-0000-0100-000002000000}" name="Provider Name"/>
    <tableColumn id="3" xr3:uid="{00000000-0010-0000-0100-000003000000}" name="NPI"/>
    <tableColumn id="4" xr3:uid="{00000000-0010-0000-0100-000004000000}" name="Specialty"/>
    <tableColumn id="5" xr3:uid="{00000000-0010-0000-0100-000005000000}" name="State"/>
    <tableColumn id="6" xr3:uid="{00000000-0010-0000-0100-000006000000}" name="Contract Status"/>
    <tableColumn id="7" xr3:uid="{00000000-0010-0000-0100-000007000000}" name="Payment Hold?"/>
    <tableColumn id="8" xr3:uid="{00000000-0010-0000-0100-000008000000}" name="Outstanding Balance ($)"/>
    <tableColumn id="9" xr3:uid="{00000000-0010-0000-0100-000009000000}" name="Last Payment Date"/>
    <tableColumn id="10" xr3:uid="{00000000-0010-0000-0100-00000A000000}" name="Note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Claims" displayName="tblClaims" ref="A1:M521">
  <autoFilter ref="A1:M521" xr:uid="{00000000-0009-0000-0100-000003000000}"/>
  <tableColumns count="13">
    <tableColumn id="1" xr3:uid="{00000000-0010-0000-0200-000001000000}" name="ClaimID"/>
    <tableColumn id="2" xr3:uid="{00000000-0010-0000-0200-000002000000}" name="MemberID"/>
    <tableColumn id="3" xr3:uid="{00000000-0010-0000-0200-000003000000}" name="ProviderID"/>
    <tableColumn id="4" xr3:uid="{00000000-0010-0000-0200-000004000000}" name="Service Date"/>
    <tableColumn id="5" xr3:uid="{00000000-0010-0000-0200-000005000000}" name="Received Date"/>
    <tableColumn id="6" xr3:uid="{00000000-0010-0000-0200-000006000000}" name="Adjudication Date"/>
    <tableColumn id="7" xr3:uid="{00000000-0010-0000-0200-000007000000}" name="Claim Type"/>
    <tableColumn id="8" xr3:uid="{00000000-0010-0000-0200-000008000000}" name="Billed Amount ($)"/>
    <tableColumn id="9" xr3:uid="{00000000-0010-0000-0200-000009000000}" name="Allowed Amount ($)"/>
    <tableColumn id="10" xr3:uid="{00000000-0010-0000-0200-00000A000000}" name="Paid Amount ($)"/>
    <tableColumn id="11" xr3:uid="{00000000-0010-0000-0200-00000B000000}" name="Status"/>
    <tableColumn id="12" xr3:uid="{00000000-0010-0000-0200-00000C000000}" name="Days Outstanding"/>
    <tableColumn id="13" xr3:uid="{00000000-0010-0000-0200-00000D000000}" name="Denial Reason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Payments" displayName="tblPayments" ref="A1:K431">
  <autoFilter ref="A1:K431" xr:uid="{00000000-0009-0000-0100-000004000000}"/>
  <tableColumns count="11">
    <tableColumn id="1" xr3:uid="{00000000-0010-0000-0300-000001000000}" name="PaymentID"/>
    <tableColumn id="2" xr3:uid="{00000000-0010-0000-0300-000002000000}" name="ClaimID"/>
    <tableColumn id="3" xr3:uid="{00000000-0010-0000-0300-000003000000}" name="ProviderID"/>
    <tableColumn id="4" xr3:uid="{00000000-0010-0000-0300-000004000000}" name="Payment Date"/>
    <tableColumn id="5" xr3:uid="{00000000-0010-0000-0300-000005000000}" name="Method"/>
    <tableColumn id="6" xr3:uid="{00000000-0010-0000-0300-000006000000}" name="EFT Trace / Check #"/>
    <tableColumn id="7" xr3:uid="{00000000-0010-0000-0300-000007000000}" name="Amount ($)"/>
    <tableColumn id="8" xr3:uid="{00000000-0010-0000-0300-000008000000}" name="Status"/>
    <tableColumn id="9" xr3:uid="{00000000-0010-0000-0300-000009000000}" name="Exception Reason"/>
    <tableColumn id="10" xr3:uid="{00000000-0010-0000-0300-00000A000000}" name="SLA Due Date"/>
    <tableColumn id="11" xr3:uid="{00000000-0010-0000-0300-00000B000000}" name="Days Past Du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Deadlines" displayName="tblDeadlines" ref="A1:K261">
  <autoFilter ref="A1:K261" xr:uid="{00000000-0009-0000-0100-000005000000}"/>
  <tableColumns count="11">
    <tableColumn id="1" xr3:uid="{00000000-0010-0000-0400-000001000000}" name="ItemID"/>
    <tableColumn id="2" xr3:uid="{00000000-0010-0000-0400-000002000000}" name="Workstream"/>
    <tableColumn id="3" xr3:uid="{00000000-0010-0000-0400-000003000000}" name="Owner"/>
    <tableColumn id="4" xr3:uid="{00000000-0010-0000-0400-000004000000}" name="Related ProviderID"/>
    <tableColumn id="5" xr3:uid="{00000000-0010-0000-0400-000005000000}" name="Related Claim/Payment ID"/>
    <tableColumn id="6" xr3:uid="{00000000-0010-0000-0400-000006000000}" name="Created Date"/>
    <tableColumn id="7" xr3:uid="{00000000-0010-0000-0400-000007000000}" name="Due Date"/>
    <tableColumn id="8" xr3:uid="{00000000-0010-0000-0400-000008000000}" name="Priority"/>
    <tableColumn id="9" xr3:uid="{00000000-0010-0000-0400-000009000000}" name="Status"/>
    <tableColumn id="10" xr3:uid="{00000000-0010-0000-0400-00000A000000}" name="Days Past Due"/>
    <tableColumn id="11" xr3:uid="{00000000-0010-0000-0400-00000B000000}" name="Next Ste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"/>
  <sheetViews>
    <sheetView workbookViewId="0">
      <pane ySplit="3" topLeftCell="A4" activePane="bottomLeft" state="frozen"/>
      <selection pane="bottomLeft" activeCell="A14" sqref="A14"/>
    </sheetView>
  </sheetViews>
  <sheetFormatPr defaultRowHeight="14.5" x14ac:dyDescent="0.35"/>
  <cols>
    <col min="1" max="1" width="55" customWidth="1"/>
    <col min="2" max="2" width="28" customWidth="1"/>
  </cols>
  <sheetData>
    <row r="1" spans="1:2" ht="21" x14ac:dyDescent="0.5">
      <c r="A1" s="1" t="s">
        <v>0</v>
      </c>
    </row>
    <row r="3" spans="1:2" ht="15.5" x14ac:dyDescent="0.35">
      <c r="A3" s="2" t="s">
        <v>1</v>
      </c>
    </row>
    <row r="4" spans="1:2" x14ac:dyDescent="0.35">
      <c r="A4" s="3" t="s">
        <v>2</v>
      </c>
      <c r="B4">
        <f>ROWS(tblClaims[ClaimID])</f>
        <v>520</v>
      </c>
    </row>
    <row r="5" spans="1:2" x14ac:dyDescent="0.35">
      <c r="A5" s="3" t="s">
        <v>3</v>
      </c>
      <c r="B5">
        <f>COUNTIF(tblClaims[Status],"Pending")+COUNTIF(tblClaims[Status],"On Hold")</f>
        <v>114</v>
      </c>
    </row>
    <row r="6" spans="1:2" x14ac:dyDescent="0.35">
      <c r="A6" s="3" t="s">
        <v>4</v>
      </c>
      <c r="B6">
        <f>COUNTIF(tblClaims[Status],"Denied")</f>
        <v>35</v>
      </c>
    </row>
    <row r="7" spans="1:2" x14ac:dyDescent="0.35">
      <c r="A7" s="3" t="s">
        <v>5</v>
      </c>
      <c r="B7">
        <f>COUNTIF(tblPayments[Status],"Overdue")</f>
        <v>18</v>
      </c>
    </row>
    <row r="8" spans="1:2" x14ac:dyDescent="0.35">
      <c r="A8" s="3" t="s">
        <v>6</v>
      </c>
      <c r="B8">
        <f>COUNTIF(tblPayments[Status],"On Hold")+COUNTIF(tblPayments[Status],"Returned")</f>
        <v>48</v>
      </c>
    </row>
    <row r="9" spans="1:2" x14ac:dyDescent="0.35">
      <c r="A9" s="3" t="s">
        <v>7</v>
      </c>
      <c r="B9">
        <f>SUMIF(tblPayments[Status],"&lt;&gt;Completed",tblPayments[Amount ($)])</f>
        <v>1255819</v>
      </c>
    </row>
    <row r="10" spans="1:2" x14ac:dyDescent="0.35">
      <c r="A10" s="3" t="s">
        <v>8</v>
      </c>
      <c r="B10">
        <f>COUNTIF(tblDeadlines[Days Past Due],"&gt;0")</f>
        <v>213</v>
      </c>
    </row>
    <row r="13" spans="1:2" x14ac:dyDescent="0.35">
      <c r="A13" s="3" t="s">
        <v>9</v>
      </c>
    </row>
    <row r="14" spans="1:2" ht="29" x14ac:dyDescent="0.35">
      <c r="A14" s="4" t="s">
        <v>10</v>
      </c>
    </row>
    <row r="15" spans="1:2" ht="29" x14ac:dyDescent="0.35">
      <c r="A15" s="4" t="s">
        <v>11</v>
      </c>
    </row>
    <row r="16" spans="1:2" ht="29" x14ac:dyDescent="0.35">
      <c r="A16" s="4" t="s">
        <v>12</v>
      </c>
    </row>
    <row r="17" spans="1:1" ht="29" x14ac:dyDescent="0.35">
      <c r="A17" s="4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"/>
  <sheetViews>
    <sheetView topLeftCell="C1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0" customWidth="1"/>
    <col min="2" max="2" width="21" customWidth="1"/>
    <col min="3" max="4" width="17" customWidth="1"/>
    <col min="5" max="5" width="16" customWidth="1"/>
    <col min="6" max="6" width="26" customWidth="1"/>
  </cols>
  <sheetData>
    <row r="1" spans="1:6" x14ac:dyDescent="0.35">
      <c r="A1" s="5" t="s">
        <v>14</v>
      </c>
      <c r="B1" s="5" t="s">
        <v>15</v>
      </c>
      <c r="C1" s="5" t="s">
        <v>16</v>
      </c>
      <c r="D1" s="5" t="s">
        <v>17</v>
      </c>
      <c r="E1" s="5" t="s">
        <v>18</v>
      </c>
      <c r="F1" s="5" t="s">
        <v>19</v>
      </c>
    </row>
    <row r="2" spans="1:6" x14ac:dyDescent="0.35">
      <c r="A2" t="s">
        <v>20</v>
      </c>
      <c r="B2" s="6">
        <v>12500000</v>
      </c>
      <c r="C2" s="6">
        <v>9200000</v>
      </c>
      <c r="D2" s="6">
        <v>1500000</v>
      </c>
      <c r="E2" s="6">
        <v>1800000</v>
      </c>
      <c r="F2" s="7">
        <v>0.73599999999999999</v>
      </c>
    </row>
    <row r="3" spans="1:6" x14ac:dyDescent="0.35">
      <c r="A3" t="s">
        <v>21</v>
      </c>
      <c r="B3" s="6">
        <v>13000000</v>
      </c>
      <c r="C3" s="6">
        <v>9500000</v>
      </c>
      <c r="D3" s="6">
        <v>1550000</v>
      </c>
      <c r="E3" s="6">
        <v>1950000</v>
      </c>
      <c r="F3" s="7">
        <v>0.73076923076923073</v>
      </c>
    </row>
    <row r="4" spans="1:6" x14ac:dyDescent="0.35">
      <c r="A4" t="s">
        <v>22</v>
      </c>
      <c r="B4" s="6">
        <v>12800000</v>
      </c>
      <c r="C4" s="6">
        <v>9100000</v>
      </c>
      <c r="D4" s="6">
        <v>1600000</v>
      </c>
      <c r="E4" s="6">
        <v>2100000</v>
      </c>
      <c r="F4" s="7">
        <v>0.7109375</v>
      </c>
    </row>
    <row r="5" spans="1:6" x14ac:dyDescent="0.35">
      <c r="A5" t="s">
        <v>23</v>
      </c>
      <c r="B5" s="6">
        <v>13500000</v>
      </c>
      <c r="C5" s="6">
        <v>9800000</v>
      </c>
      <c r="D5" s="6">
        <v>1650000</v>
      </c>
      <c r="E5" s="6">
        <v>2050000</v>
      </c>
      <c r="F5" s="7">
        <v>0.72592592592592597</v>
      </c>
    </row>
    <row r="6" spans="1:6" x14ac:dyDescent="0.35">
      <c r="A6" t="s">
        <v>24</v>
      </c>
      <c r="B6" s="6">
        <v>14000000</v>
      </c>
      <c r="C6" s="6">
        <v>10000000</v>
      </c>
      <c r="D6" s="6">
        <v>1700000</v>
      </c>
      <c r="E6" s="6">
        <v>2300000</v>
      </c>
      <c r="F6" s="7">
        <v>0.7142857142857143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8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2" customWidth="1"/>
    <col min="2" max="2" width="27" customWidth="1"/>
    <col min="3" max="3" width="12" customWidth="1"/>
    <col min="4" max="4" width="19" customWidth="1"/>
    <col min="5" max="5" width="10" customWidth="1"/>
    <col min="6" max="6" width="17" customWidth="1"/>
    <col min="7" max="7" width="15" customWidth="1"/>
    <col min="8" max="8" width="25" customWidth="1"/>
    <col min="9" max="9" width="19" customWidth="1"/>
    <col min="10" max="10" width="39" customWidth="1"/>
  </cols>
  <sheetData>
    <row r="1" spans="1:10" x14ac:dyDescent="0.35">
      <c r="A1" s="5" t="s">
        <v>25</v>
      </c>
      <c r="B1" s="5" t="s">
        <v>26</v>
      </c>
      <c r="C1" s="5" t="s">
        <v>27</v>
      </c>
      <c r="D1" s="5" t="s">
        <v>28</v>
      </c>
      <c r="E1" s="5" t="s">
        <v>29</v>
      </c>
      <c r="F1" s="5" t="s">
        <v>30</v>
      </c>
      <c r="G1" s="5" t="s">
        <v>31</v>
      </c>
      <c r="H1" s="5" t="s">
        <v>32</v>
      </c>
      <c r="I1" s="5" t="s">
        <v>33</v>
      </c>
      <c r="J1" s="5" t="s">
        <v>34</v>
      </c>
    </row>
    <row r="2" spans="1:10" x14ac:dyDescent="0.35">
      <c r="A2" t="s">
        <v>35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G2" t="s">
        <v>41</v>
      </c>
      <c r="H2" s="6">
        <v>39504</v>
      </c>
      <c r="I2" s="8">
        <v>46128</v>
      </c>
    </row>
    <row r="3" spans="1:10" x14ac:dyDescent="0.35">
      <c r="A3" t="s">
        <v>42</v>
      </c>
      <c r="B3" t="s">
        <v>43</v>
      </c>
      <c r="C3" t="s">
        <v>44</v>
      </c>
      <c r="D3" t="s">
        <v>45</v>
      </c>
      <c r="E3" t="s">
        <v>46</v>
      </c>
      <c r="F3" t="s">
        <v>47</v>
      </c>
      <c r="G3" t="s">
        <v>41</v>
      </c>
      <c r="H3" s="6">
        <v>48206</v>
      </c>
      <c r="I3" s="8">
        <v>46153</v>
      </c>
    </row>
    <row r="4" spans="1:10" x14ac:dyDescent="0.35">
      <c r="A4" t="s">
        <v>48</v>
      </c>
      <c r="B4" t="s">
        <v>49</v>
      </c>
      <c r="C4" t="s">
        <v>50</v>
      </c>
      <c r="D4" t="s">
        <v>51</v>
      </c>
      <c r="E4" t="s">
        <v>52</v>
      </c>
      <c r="F4" t="s">
        <v>40</v>
      </c>
      <c r="G4" t="s">
        <v>41</v>
      </c>
      <c r="H4" s="6">
        <v>30223</v>
      </c>
      <c r="I4" s="8">
        <v>46141</v>
      </c>
    </row>
    <row r="5" spans="1:10" x14ac:dyDescent="0.35">
      <c r="A5" t="s">
        <v>53</v>
      </c>
      <c r="B5" t="s">
        <v>54</v>
      </c>
      <c r="C5" t="s">
        <v>55</v>
      </c>
      <c r="D5" t="s">
        <v>56</v>
      </c>
      <c r="E5" t="s">
        <v>57</v>
      </c>
      <c r="F5" t="s">
        <v>40</v>
      </c>
      <c r="G5" t="s">
        <v>58</v>
      </c>
      <c r="H5" s="6">
        <v>98067</v>
      </c>
      <c r="I5" s="8">
        <v>46138</v>
      </c>
      <c r="J5" t="s">
        <v>59</v>
      </c>
    </row>
    <row r="6" spans="1:10" x14ac:dyDescent="0.35">
      <c r="A6" t="s">
        <v>60</v>
      </c>
      <c r="B6" t="s">
        <v>61</v>
      </c>
      <c r="C6" t="s">
        <v>62</v>
      </c>
      <c r="D6" t="s">
        <v>63</v>
      </c>
      <c r="E6" t="s">
        <v>64</v>
      </c>
      <c r="F6" t="s">
        <v>40</v>
      </c>
      <c r="G6" t="s">
        <v>41</v>
      </c>
      <c r="H6" s="6">
        <v>73705</v>
      </c>
      <c r="I6" s="8">
        <v>46055</v>
      </c>
    </row>
    <row r="7" spans="1:10" x14ac:dyDescent="0.35">
      <c r="A7" t="s">
        <v>65</v>
      </c>
      <c r="B7" t="s">
        <v>66</v>
      </c>
      <c r="C7" t="s">
        <v>67</v>
      </c>
      <c r="D7" t="s">
        <v>38</v>
      </c>
      <c r="E7" t="s">
        <v>68</v>
      </c>
      <c r="F7" t="s">
        <v>40</v>
      </c>
      <c r="G7" t="s">
        <v>41</v>
      </c>
      <c r="H7" s="6">
        <v>71731</v>
      </c>
      <c r="I7" s="8">
        <v>46062</v>
      </c>
    </row>
    <row r="8" spans="1:10" x14ac:dyDescent="0.35">
      <c r="A8" t="s">
        <v>69</v>
      </c>
      <c r="B8" t="s">
        <v>70</v>
      </c>
      <c r="C8" t="s">
        <v>71</v>
      </c>
      <c r="D8" t="s">
        <v>38</v>
      </c>
      <c r="E8" t="s">
        <v>39</v>
      </c>
      <c r="F8" t="s">
        <v>40</v>
      </c>
      <c r="G8" t="s">
        <v>41</v>
      </c>
      <c r="H8" s="6">
        <v>63058</v>
      </c>
      <c r="I8" s="8">
        <v>46070</v>
      </c>
    </row>
    <row r="9" spans="1:10" x14ac:dyDescent="0.35">
      <c r="A9" t="s">
        <v>72</v>
      </c>
      <c r="B9" t="s">
        <v>73</v>
      </c>
      <c r="C9" t="s">
        <v>74</v>
      </c>
      <c r="D9" t="s">
        <v>75</v>
      </c>
      <c r="E9" t="s">
        <v>46</v>
      </c>
      <c r="F9" t="s">
        <v>40</v>
      </c>
      <c r="G9" t="s">
        <v>58</v>
      </c>
      <c r="H9" s="6">
        <v>156239</v>
      </c>
      <c r="I9" s="8">
        <v>46113</v>
      </c>
      <c r="J9" t="s">
        <v>76</v>
      </c>
    </row>
    <row r="10" spans="1:10" x14ac:dyDescent="0.35">
      <c r="A10" t="s">
        <v>77</v>
      </c>
      <c r="B10" t="s">
        <v>78</v>
      </c>
      <c r="C10" t="s">
        <v>79</v>
      </c>
      <c r="D10" t="s">
        <v>38</v>
      </c>
      <c r="E10" t="s">
        <v>46</v>
      </c>
      <c r="F10" t="s">
        <v>40</v>
      </c>
      <c r="G10" t="s">
        <v>41</v>
      </c>
      <c r="H10" s="6">
        <v>86007</v>
      </c>
      <c r="I10" s="8">
        <v>46051</v>
      </c>
    </row>
    <row r="11" spans="1:10" x14ac:dyDescent="0.35">
      <c r="A11" t="s">
        <v>80</v>
      </c>
      <c r="B11" t="s">
        <v>81</v>
      </c>
      <c r="C11" t="s">
        <v>82</v>
      </c>
      <c r="D11" t="s">
        <v>38</v>
      </c>
      <c r="E11" t="s">
        <v>39</v>
      </c>
      <c r="F11" t="s">
        <v>47</v>
      </c>
      <c r="G11" t="s">
        <v>41</v>
      </c>
      <c r="H11" s="6">
        <v>63352</v>
      </c>
      <c r="I11" s="8">
        <v>46093</v>
      </c>
    </row>
    <row r="12" spans="1:10" x14ac:dyDescent="0.35">
      <c r="A12" t="s">
        <v>83</v>
      </c>
      <c r="B12" t="s">
        <v>84</v>
      </c>
      <c r="C12" t="s">
        <v>85</v>
      </c>
      <c r="D12" t="s">
        <v>38</v>
      </c>
      <c r="E12" t="s">
        <v>86</v>
      </c>
      <c r="F12" t="s">
        <v>47</v>
      </c>
      <c r="G12" t="s">
        <v>41</v>
      </c>
      <c r="H12" s="6">
        <v>25714</v>
      </c>
      <c r="I12" s="8">
        <v>46082</v>
      </c>
    </row>
    <row r="13" spans="1:10" x14ac:dyDescent="0.35">
      <c r="A13" t="s">
        <v>87</v>
      </c>
      <c r="B13" t="s">
        <v>88</v>
      </c>
      <c r="C13" t="s">
        <v>89</v>
      </c>
      <c r="D13" t="s">
        <v>45</v>
      </c>
      <c r="E13" t="s">
        <v>39</v>
      </c>
      <c r="F13" t="s">
        <v>40</v>
      </c>
      <c r="G13" t="s">
        <v>41</v>
      </c>
      <c r="H13" s="6">
        <v>27998</v>
      </c>
      <c r="I13" s="8">
        <v>46103</v>
      </c>
    </row>
    <row r="14" spans="1:10" x14ac:dyDescent="0.35">
      <c r="A14" t="s">
        <v>90</v>
      </c>
      <c r="B14" t="s">
        <v>91</v>
      </c>
      <c r="C14" t="s">
        <v>92</v>
      </c>
      <c r="D14" t="s">
        <v>93</v>
      </c>
      <c r="E14" t="s">
        <v>86</v>
      </c>
      <c r="F14" t="s">
        <v>47</v>
      </c>
      <c r="G14" t="s">
        <v>41</v>
      </c>
      <c r="H14" s="6">
        <v>59462</v>
      </c>
      <c r="I14" s="8">
        <v>46072</v>
      </c>
    </row>
    <row r="15" spans="1:10" x14ac:dyDescent="0.35">
      <c r="A15" t="s">
        <v>94</v>
      </c>
      <c r="B15" t="s">
        <v>95</v>
      </c>
      <c r="C15" t="s">
        <v>96</v>
      </c>
      <c r="D15" t="s">
        <v>38</v>
      </c>
      <c r="E15" t="s">
        <v>97</v>
      </c>
      <c r="F15" t="s">
        <v>40</v>
      </c>
      <c r="G15" t="s">
        <v>41</v>
      </c>
      <c r="H15" s="6">
        <v>37777</v>
      </c>
      <c r="I15" s="8">
        <v>46105</v>
      </c>
    </row>
    <row r="16" spans="1:10" x14ac:dyDescent="0.35">
      <c r="A16" t="s">
        <v>98</v>
      </c>
      <c r="B16" t="s">
        <v>99</v>
      </c>
      <c r="C16" t="s">
        <v>100</v>
      </c>
      <c r="D16" t="s">
        <v>45</v>
      </c>
      <c r="E16" t="s">
        <v>52</v>
      </c>
      <c r="F16" t="s">
        <v>101</v>
      </c>
      <c r="G16" t="s">
        <v>41</v>
      </c>
      <c r="H16" s="6">
        <v>55670</v>
      </c>
      <c r="I16" s="8">
        <v>46142</v>
      </c>
    </row>
    <row r="17" spans="1:10" x14ac:dyDescent="0.35">
      <c r="A17" t="s">
        <v>102</v>
      </c>
      <c r="B17" t="s">
        <v>103</v>
      </c>
      <c r="C17" t="s">
        <v>104</v>
      </c>
      <c r="D17" t="s">
        <v>105</v>
      </c>
      <c r="E17" t="s">
        <v>68</v>
      </c>
      <c r="F17" t="s">
        <v>40</v>
      </c>
      <c r="G17" t="s">
        <v>41</v>
      </c>
      <c r="H17" s="6">
        <v>65841</v>
      </c>
      <c r="I17" s="8">
        <v>46066</v>
      </c>
    </row>
    <row r="18" spans="1:10" x14ac:dyDescent="0.35">
      <c r="A18" t="s">
        <v>106</v>
      </c>
      <c r="B18" t="s">
        <v>107</v>
      </c>
      <c r="C18" t="s">
        <v>108</v>
      </c>
      <c r="D18" t="s">
        <v>75</v>
      </c>
      <c r="E18" t="s">
        <v>46</v>
      </c>
      <c r="F18" t="s">
        <v>47</v>
      </c>
      <c r="G18" t="s">
        <v>41</v>
      </c>
      <c r="H18" s="6">
        <v>83947</v>
      </c>
      <c r="I18" s="8">
        <v>46114</v>
      </c>
    </row>
    <row r="19" spans="1:10" x14ac:dyDescent="0.35">
      <c r="A19" t="s">
        <v>109</v>
      </c>
      <c r="B19" t="s">
        <v>110</v>
      </c>
      <c r="C19" t="s">
        <v>111</v>
      </c>
      <c r="D19" t="s">
        <v>38</v>
      </c>
      <c r="E19" t="s">
        <v>86</v>
      </c>
      <c r="F19" t="s">
        <v>40</v>
      </c>
      <c r="G19" t="s">
        <v>41</v>
      </c>
      <c r="H19" s="6">
        <v>47668</v>
      </c>
      <c r="I19" s="8">
        <v>46070</v>
      </c>
    </row>
    <row r="20" spans="1:10" x14ac:dyDescent="0.35">
      <c r="A20" t="s">
        <v>112</v>
      </c>
      <c r="B20" t="s">
        <v>113</v>
      </c>
      <c r="C20" t="s">
        <v>114</v>
      </c>
      <c r="D20" t="s">
        <v>115</v>
      </c>
      <c r="E20" t="s">
        <v>97</v>
      </c>
      <c r="F20" t="s">
        <v>47</v>
      </c>
      <c r="G20" t="s">
        <v>58</v>
      </c>
      <c r="H20" s="6">
        <v>111150</v>
      </c>
      <c r="I20" s="8">
        <v>46130</v>
      </c>
      <c r="J20" t="s">
        <v>116</v>
      </c>
    </row>
    <row r="21" spans="1:10" x14ac:dyDescent="0.35">
      <c r="A21" t="s">
        <v>117</v>
      </c>
      <c r="B21" t="s">
        <v>118</v>
      </c>
      <c r="C21" t="s">
        <v>119</v>
      </c>
      <c r="D21" t="s">
        <v>38</v>
      </c>
      <c r="E21" t="s">
        <v>86</v>
      </c>
      <c r="F21" t="s">
        <v>40</v>
      </c>
      <c r="G21" t="s">
        <v>41</v>
      </c>
      <c r="H21" s="6">
        <v>69097</v>
      </c>
      <c r="I21" s="8">
        <v>46150</v>
      </c>
    </row>
    <row r="22" spans="1:10" x14ac:dyDescent="0.35">
      <c r="A22" t="s">
        <v>120</v>
      </c>
      <c r="B22" t="s">
        <v>121</v>
      </c>
      <c r="C22" t="s">
        <v>122</v>
      </c>
      <c r="D22" t="s">
        <v>105</v>
      </c>
      <c r="E22" t="s">
        <v>57</v>
      </c>
      <c r="F22" t="s">
        <v>101</v>
      </c>
      <c r="G22" t="s">
        <v>41</v>
      </c>
      <c r="H22" s="6">
        <v>55790</v>
      </c>
      <c r="I22" s="8">
        <v>46151</v>
      </c>
    </row>
    <row r="23" spans="1:10" x14ac:dyDescent="0.35">
      <c r="A23" t="s">
        <v>123</v>
      </c>
      <c r="B23" t="s">
        <v>124</v>
      </c>
      <c r="C23" t="s">
        <v>125</v>
      </c>
      <c r="D23" t="s">
        <v>38</v>
      </c>
      <c r="E23" t="s">
        <v>57</v>
      </c>
      <c r="F23" t="s">
        <v>47</v>
      </c>
      <c r="G23" t="s">
        <v>41</v>
      </c>
      <c r="H23" s="6">
        <v>43307</v>
      </c>
      <c r="I23" s="8">
        <v>46145</v>
      </c>
    </row>
    <row r="24" spans="1:10" x14ac:dyDescent="0.35">
      <c r="A24" t="s">
        <v>126</v>
      </c>
      <c r="B24" t="s">
        <v>127</v>
      </c>
      <c r="C24" t="s">
        <v>128</v>
      </c>
      <c r="D24" t="s">
        <v>93</v>
      </c>
      <c r="E24" t="s">
        <v>86</v>
      </c>
      <c r="F24" t="s">
        <v>40</v>
      </c>
      <c r="G24" t="s">
        <v>58</v>
      </c>
      <c r="H24" s="6">
        <v>193396</v>
      </c>
      <c r="I24" s="8">
        <v>46120</v>
      </c>
      <c r="J24" t="s">
        <v>76</v>
      </c>
    </row>
    <row r="25" spans="1:10" x14ac:dyDescent="0.35">
      <c r="A25" t="s">
        <v>129</v>
      </c>
      <c r="B25" t="s">
        <v>130</v>
      </c>
      <c r="C25" t="s">
        <v>131</v>
      </c>
      <c r="D25" t="s">
        <v>105</v>
      </c>
      <c r="E25" t="s">
        <v>52</v>
      </c>
      <c r="F25" t="s">
        <v>40</v>
      </c>
      <c r="G25" t="s">
        <v>41</v>
      </c>
      <c r="H25" s="6">
        <v>80362</v>
      </c>
      <c r="I25" s="8">
        <v>46164</v>
      </c>
    </row>
    <row r="26" spans="1:10" x14ac:dyDescent="0.35">
      <c r="A26" t="s">
        <v>132</v>
      </c>
      <c r="B26" t="s">
        <v>133</v>
      </c>
      <c r="C26" t="s">
        <v>134</v>
      </c>
      <c r="D26" t="s">
        <v>56</v>
      </c>
      <c r="E26" t="s">
        <v>86</v>
      </c>
      <c r="F26" t="s">
        <v>47</v>
      </c>
      <c r="G26" t="s">
        <v>41</v>
      </c>
      <c r="H26" s="6">
        <v>4028</v>
      </c>
      <c r="I26" s="8">
        <v>46077</v>
      </c>
    </row>
    <row r="27" spans="1:10" x14ac:dyDescent="0.35">
      <c r="A27" t="s">
        <v>135</v>
      </c>
      <c r="B27" t="s">
        <v>136</v>
      </c>
      <c r="C27" t="s">
        <v>137</v>
      </c>
      <c r="D27" t="s">
        <v>38</v>
      </c>
      <c r="E27" t="s">
        <v>64</v>
      </c>
      <c r="F27" t="s">
        <v>138</v>
      </c>
      <c r="G27" t="s">
        <v>41</v>
      </c>
      <c r="H27" s="6">
        <v>13687</v>
      </c>
      <c r="I27" s="8">
        <v>46134</v>
      </c>
    </row>
    <row r="28" spans="1:10" x14ac:dyDescent="0.35">
      <c r="A28" t="s">
        <v>139</v>
      </c>
      <c r="B28" t="s">
        <v>140</v>
      </c>
      <c r="C28" t="s">
        <v>141</v>
      </c>
      <c r="D28" t="s">
        <v>56</v>
      </c>
      <c r="E28" t="s">
        <v>57</v>
      </c>
      <c r="F28" t="s">
        <v>40</v>
      </c>
      <c r="G28" t="s">
        <v>41</v>
      </c>
      <c r="H28" s="6">
        <v>78586</v>
      </c>
      <c r="I28" s="8">
        <v>46158</v>
      </c>
    </row>
    <row r="29" spans="1:10" x14ac:dyDescent="0.35">
      <c r="A29" t="s">
        <v>142</v>
      </c>
      <c r="B29" t="s">
        <v>143</v>
      </c>
      <c r="C29" t="s">
        <v>144</v>
      </c>
      <c r="D29" t="s">
        <v>56</v>
      </c>
      <c r="E29" t="s">
        <v>86</v>
      </c>
      <c r="F29" t="s">
        <v>40</v>
      </c>
      <c r="G29" t="s">
        <v>41</v>
      </c>
      <c r="H29" s="6">
        <v>5488</v>
      </c>
      <c r="I29" s="8">
        <v>46075</v>
      </c>
    </row>
    <row r="30" spans="1:10" x14ac:dyDescent="0.35">
      <c r="A30" t="s">
        <v>145</v>
      </c>
      <c r="B30" t="s">
        <v>146</v>
      </c>
      <c r="C30" t="s">
        <v>147</v>
      </c>
      <c r="D30" t="s">
        <v>51</v>
      </c>
      <c r="E30" t="s">
        <v>97</v>
      </c>
      <c r="F30" t="s">
        <v>40</v>
      </c>
      <c r="G30" t="s">
        <v>58</v>
      </c>
      <c r="H30" s="6">
        <v>46707</v>
      </c>
      <c r="I30" s="8">
        <v>46057</v>
      </c>
      <c r="J30" t="s">
        <v>148</v>
      </c>
    </row>
    <row r="31" spans="1:10" x14ac:dyDescent="0.35">
      <c r="A31" t="s">
        <v>149</v>
      </c>
      <c r="B31" t="s">
        <v>150</v>
      </c>
      <c r="C31" t="s">
        <v>151</v>
      </c>
      <c r="D31" t="s">
        <v>115</v>
      </c>
      <c r="E31" t="s">
        <v>46</v>
      </c>
      <c r="F31" t="s">
        <v>40</v>
      </c>
      <c r="G31" t="s">
        <v>41</v>
      </c>
      <c r="H31" s="6">
        <v>47097</v>
      </c>
      <c r="I31" s="8">
        <v>46157</v>
      </c>
    </row>
    <row r="32" spans="1:10" x14ac:dyDescent="0.35">
      <c r="A32" t="s">
        <v>152</v>
      </c>
      <c r="B32" t="s">
        <v>153</v>
      </c>
      <c r="C32" t="s">
        <v>154</v>
      </c>
      <c r="D32" t="s">
        <v>75</v>
      </c>
      <c r="E32" t="s">
        <v>97</v>
      </c>
      <c r="F32" t="s">
        <v>40</v>
      </c>
      <c r="G32" t="s">
        <v>41</v>
      </c>
      <c r="H32" s="6">
        <v>81318</v>
      </c>
      <c r="I32" s="8">
        <v>46135</v>
      </c>
    </row>
    <row r="33" spans="1:10" x14ac:dyDescent="0.35">
      <c r="A33" t="s">
        <v>155</v>
      </c>
      <c r="B33" t="s">
        <v>156</v>
      </c>
      <c r="C33" t="s">
        <v>157</v>
      </c>
      <c r="D33" t="s">
        <v>63</v>
      </c>
      <c r="E33" t="s">
        <v>64</v>
      </c>
      <c r="F33" t="s">
        <v>47</v>
      </c>
      <c r="G33" t="s">
        <v>41</v>
      </c>
      <c r="H33" s="6">
        <v>49928</v>
      </c>
      <c r="I33" s="8">
        <v>46103</v>
      </c>
    </row>
    <row r="34" spans="1:10" x14ac:dyDescent="0.35">
      <c r="A34" t="s">
        <v>158</v>
      </c>
      <c r="B34" t="s">
        <v>159</v>
      </c>
      <c r="C34" t="s">
        <v>160</v>
      </c>
      <c r="D34" t="s">
        <v>56</v>
      </c>
      <c r="E34" t="s">
        <v>46</v>
      </c>
      <c r="F34" t="s">
        <v>40</v>
      </c>
      <c r="G34" t="s">
        <v>58</v>
      </c>
      <c r="H34" s="6">
        <v>143868</v>
      </c>
      <c r="I34" s="8">
        <v>46167</v>
      </c>
      <c r="J34" t="s">
        <v>76</v>
      </c>
    </row>
    <row r="35" spans="1:10" x14ac:dyDescent="0.35">
      <c r="A35" t="s">
        <v>161</v>
      </c>
      <c r="B35" t="s">
        <v>91</v>
      </c>
      <c r="C35" t="s">
        <v>162</v>
      </c>
      <c r="D35" t="s">
        <v>38</v>
      </c>
      <c r="E35" t="s">
        <v>64</v>
      </c>
      <c r="F35" t="s">
        <v>40</v>
      </c>
      <c r="G35" t="s">
        <v>41</v>
      </c>
      <c r="H35" s="6">
        <v>88527</v>
      </c>
      <c r="I35" s="8">
        <v>46158</v>
      </c>
    </row>
    <row r="36" spans="1:10" x14ac:dyDescent="0.35">
      <c r="A36" t="s">
        <v>163</v>
      </c>
      <c r="B36" t="s">
        <v>146</v>
      </c>
      <c r="C36" t="s">
        <v>164</v>
      </c>
      <c r="D36" t="s">
        <v>75</v>
      </c>
      <c r="E36" t="s">
        <v>57</v>
      </c>
      <c r="F36" t="s">
        <v>40</v>
      </c>
      <c r="G36" t="s">
        <v>41</v>
      </c>
      <c r="H36" s="6">
        <v>35185</v>
      </c>
      <c r="I36" s="8">
        <v>46128</v>
      </c>
    </row>
    <row r="37" spans="1:10" x14ac:dyDescent="0.35">
      <c r="A37" t="s">
        <v>165</v>
      </c>
      <c r="B37" t="s">
        <v>166</v>
      </c>
      <c r="C37" t="s">
        <v>167</v>
      </c>
      <c r="D37" t="s">
        <v>75</v>
      </c>
      <c r="E37" t="s">
        <v>39</v>
      </c>
      <c r="F37" t="s">
        <v>47</v>
      </c>
      <c r="G37" t="s">
        <v>41</v>
      </c>
      <c r="H37" s="6">
        <v>765</v>
      </c>
      <c r="I37" s="8">
        <v>46125</v>
      </c>
    </row>
    <row r="38" spans="1:10" x14ac:dyDescent="0.35">
      <c r="A38" t="s">
        <v>168</v>
      </c>
      <c r="B38" t="s">
        <v>169</v>
      </c>
      <c r="C38" t="s">
        <v>170</v>
      </c>
      <c r="D38" t="s">
        <v>93</v>
      </c>
      <c r="E38" t="s">
        <v>97</v>
      </c>
      <c r="F38" t="s">
        <v>40</v>
      </c>
      <c r="G38" t="s">
        <v>41</v>
      </c>
      <c r="H38" s="6">
        <v>48555</v>
      </c>
      <c r="I38" s="8">
        <v>46076</v>
      </c>
    </row>
    <row r="39" spans="1:10" x14ac:dyDescent="0.35">
      <c r="A39" t="s">
        <v>171</v>
      </c>
      <c r="B39" t="s">
        <v>172</v>
      </c>
      <c r="C39" t="s">
        <v>173</v>
      </c>
      <c r="D39" t="s">
        <v>38</v>
      </c>
      <c r="E39" t="s">
        <v>46</v>
      </c>
      <c r="F39" t="s">
        <v>40</v>
      </c>
      <c r="G39" t="s">
        <v>41</v>
      </c>
      <c r="H39" s="6">
        <v>2549</v>
      </c>
      <c r="I39" s="8">
        <v>46075</v>
      </c>
    </row>
    <row r="40" spans="1:10" x14ac:dyDescent="0.35">
      <c r="A40" t="s">
        <v>174</v>
      </c>
      <c r="B40" t="s">
        <v>175</v>
      </c>
      <c r="C40" t="s">
        <v>176</v>
      </c>
      <c r="D40" t="s">
        <v>93</v>
      </c>
      <c r="E40" t="s">
        <v>52</v>
      </c>
      <c r="F40" t="s">
        <v>40</v>
      </c>
      <c r="G40" t="s">
        <v>41</v>
      </c>
      <c r="H40" s="6">
        <v>9145</v>
      </c>
    </row>
    <row r="41" spans="1:10" x14ac:dyDescent="0.35">
      <c r="A41" t="s">
        <v>177</v>
      </c>
      <c r="B41" t="s">
        <v>178</v>
      </c>
      <c r="C41" t="s">
        <v>179</v>
      </c>
      <c r="D41" t="s">
        <v>63</v>
      </c>
      <c r="E41" t="s">
        <v>52</v>
      </c>
      <c r="F41" t="s">
        <v>47</v>
      </c>
      <c r="G41" t="s">
        <v>41</v>
      </c>
      <c r="H41" s="6">
        <v>19955</v>
      </c>
      <c r="I41" s="8">
        <v>46086</v>
      </c>
    </row>
    <row r="42" spans="1:10" x14ac:dyDescent="0.35">
      <c r="A42" t="s">
        <v>180</v>
      </c>
      <c r="B42" t="s">
        <v>181</v>
      </c>
      <c r="C42" t="s">
        <v>182</v>
      </c>
      <c r="D42" t="s">
        <v>51</v>
      </c>
      <c r="E42" t="s">
        <v>57</v>
      </c>
      <c r="F42" t="s">
        <v>40</v>
      </c>
      <c r="G42" t="s">
        <v>41</v>
      </c>
      <c r="H42" s="6">
        <v>2270</v>
      </c>
      <c r="I42" s="8">
        <v>46146</v>
      </c>
    </row>
    <row r="43" spans="1:10" x14ac:dyDescent="0.35">
      <c r="A43" t="s">
        <v>183</v>
      </c>
      <c r="B43" t="s">
        <v>184</v>
      </c>
      <c r="C43" t="s">
        <v>185</v>
      </c>
      <c r="D43" t="s">
        <v>56</v>
      </c>
      <c r="E43" t="s">
        <v>39</v>
      </c>
      <c r="F43" t="s">
        <v>101</v>
      </c>
      <c r="G43" t="s">
        <v>41</v>
      </c>
      <c r="H43" s="6">
        <v>34790</v>
      </c>
      <c r="I43" s="8">
        <v>46113</v>
      </c>
    </row>
    <row r="44" spans="1:10" x14ac:dyDescent="0.35">
      <c r="A44" t="s">
        <v>186</v>
      </c>
      <c r="B44" t="s">
        <v>187</v>
      </c>
      <c r="C44" t="s">
        <v>188</v>
      </c>
      <c r="D44" t="s">
        <v>45</v>
      </c>
      <c r="E44" t="s">
        <v>64</v>
      </c>
      <c r="F44" t="s">
        <v>101</v>
      </c>
      <c r="G44" t="s">
        <v>58</v>
      </c>
      <c r="H44" s="6">
        <v>36658</v>
      </c>
      <c r="I44" s="8">
        <v>46104</v>
      </c>
      <c r="J44" t="s">
        <v>189</v>
      </c>
    </row>
    <row r="45" spans="1:10" x14ac:dyDescent="0.35">
      <c r="A45" t="s">
        <v>190</v>
      </c>
      <c r="B45" t="s">
        <v>191</v>
      </c>
      <c r="C45" t="s">
        <v>192</v>
      </c>
      <c r="D45" t="s">
        <v>51</v>
      </c>
      <c r="E45" t="s">
        <v>68</v>
      </c>
      <c r="F45" t="s">
        <v>40</v>
      </c>
      <c r="G45" t="s">
        <v>41</v>
      </c>
      <c r="H45" s="6">
        <v>39230</v>
      </c>
      <c r="I45" s="8">
        <v>46141</v>
      </c>
    </row>
    <row r="46" spans="1:10" x14ac:dyDescent="0.35">
      <c r="A46" t="s">
        <v>193</v>
      </c>
      <c r="B46" t="s">
        <v>194</v>
      </c>
      <c r="C46" t="s">
        <v>195</v>
      </c>
      <c r="D46" t="s">
        <v>51</v>
      </c>
      <c r="E46" t="s">
        <v>64</v>
      </c>
      <c r="F46" t="s">
        <v>40</v>
      </c>
      <c r="G46" t="s">
        <v>58</v>
      </c>
      <c r="H46" s="6">
        <v>143894</v>
      </c>
      <c r="I46" s="8">
        <v>46113</v>
      </c>
      <c r="J46" t="s">
        <v>59</v>
      </c>
    </row>
    <row r="47" spans="1:10" x14ac:dyDescent="0.35">
      <c r="A47" t="s">
        <v>196</v>
      </c>
      <c r="B47" t="s">
        <v>124</v>
      </c>
      <c r="C47" t="s">
        <v>197</v>
      </c>
      <c r="D47" t="s">
        <v>38</v>
      </c>
      <c r="E47" t="s">
        <v>97</v>
      </c>
      <c r="F47" t="s">
        <v>40</v>
      </c>
      <c r="G47" t="s">
        <v>41</v>
      </c>
      <c r="H47" s="6">
        <v>24667</v>
      </c>
      <c r="I47" s="8">
        <v>46116</v>
      </c>
    </row>
    <row r="48" spans="1:10" x14ac:dyDescent="0.35">
      <c r="A48" t="s">
        <v>198</v>
      </c>
      <c r="B48" t="s">
        <v>199</v>
      </c>
      <c r="C48" t="s">
        <v>200</v>
      </c>
      <c r="D48" t="s">
        <v>115</v>
      </c>
      <c r="E48" t="s">
        <v>64</v>
      </c>
      <c r="F48" t="s">
        <v>40</v>
      </c>
      <c r="G48" t="s">
        <v>58</v>
      </c>
      <c r="H48" s="6">
        <v>223990</v>
      </c>
      <c r="I48" s="8">
        <v>46059</v>
      </c>
      <c r="J48" t="s">
        <v>148</v>
      </c>
    </row>
    <row r="49" spans="1:10" x14ac:dyDescent="0.35">
      <c r="A49" t="s">
        <v>201</v>
      </c>
      <c r="B49" t="s">
        <v>202</v>
      </c>
      <c r="C49" t="s">
        <v>203</v>
      </c>
      <c r="D49" t="s">
        <v>56</v>
      </c>
      <c r="E49" t="s">
        <v>39</v>
      </c>
      <c r="F49" t="s">
        <v>40</v>
      </c>
      <c r="G49" t="s">
        <v>41</v>
      </c>
      <c r="H49" s="6">
        <v>49524</v>
      </c>
      <c r="I49" s="8">
        <v>46158</v>
      </c>
    </row>
    <row r="50" spans="1:10" x14ac:dyDescent="0.35">
      <c r="A50" t="s">
        <v>204</v>
      </c>
      <c r="B50" t="s">
        <v>205</v>
      </c>
      <c r="C50" t="s">
        <v>206</v>
      </c>
      <c r="D50" t="s">
        <v>75</v>
      </c>
      <c r="E50" t="s">
        <v>97</v>
      </c>
      <c r="F50" t="s">
        <v>138</v>
      </c>
      <c r="G50" t="s">
        <v>41</v>
      </c>
      <c r="H50" s="6">
        <v>66426</v>
      </c>
      <c r="I50" s="8">
        <v>46137</v>
      </c>
    </row>
    <row r="51" spans="1:10" x14ac:dyDescent="0.35">
      <c r="A51" t="s">
        <v>207</v>
      </c>
      <c r="B51" t="s">
        <v>208</v>
      </c>
      <c r="C51" t="s">
        <v>209</v>
      </c>
      <c r="D51" t="s">
        <v>63</v>
      </c>
      <c r="E51" t="s">
        <v>68</v>
      </c>
      <c r="F51" t="s">
        <v>47</v>
      </c>
      <c r="G51" t="s">
        <v>41</v>
      </c>
      <c r="H51" s="6">
        <v>62591</v>
      </c>
      <c r="I51" s="8">
        <v>46133</v>
      </c>
    </row>
    <row r="52" spans="1:10" x14ac:dyDescent="0.35">
      <c r="A52" t="s">
        <v>210</v>
      </c>
      <c r="B52" t="s">
        <v>194</v>
      </c>
      <c r="C52" t="s">
        <v>211</v>
      </c>
      <c r="D52" t="s">
        <v>56</v>
      </c>
      <c r="E52" t="s">
        <v>46</v>
      </c>
      <c r="F52" t="s">
        <v>40</v>
      </c>
      <c r="G52" t="s">
        <v>41</v>
      </c>
      <c r="H52" s="6">
        <v>76618</v>
      </c>
      <c r="I52" s="8">
        <v>46109</v>
      </c>
    </row>
    <row r="53" spans="1:10" x14ac:dyDescent="0.35">
      <c r="A53" t="s">
        <v>212</v>
      </c>
      <c r="B53" t="s">
        <v>213</v>
      </c>
      <c r="C53" t="s">
        <v>214</v>
      </c>
      <c r="D53" t="s">
        <v>45</v>
      </c>
      <c r="E53" t="s">
        <v>57</v>
      </c>
      <c r="F53" t="s">
        <v>40</v>
      </c>
      <c r="G53" t="s">
        <v>41</v>
      </c>
      <c r="H53" s="6">
        <v>32441</v>
      </c>
    </row>
    <row r="54" spans="1:10" x14ac:dyDescent="0.35">
      <c r="A54" t="s">
        <v>215</v>
      </c>
      <c r="B54" t="s">
        <v>216</v>
      </c>
      <c r="C54" t="s">
        <v>217</v>
      </c>
      <c r="D54" t="s">
        <v>56</v>
      </c>
      <c r="E54" t="s">
        <v>57</v>
      </c>
      <c r="F54" t="s">
        <v>40</v>
      </c>
      <c r="G54" t="s">
        <v>58</v>
      </c>
      <c r="H54" s="6">
        <v>183860</v>
      </c>
      <c r="I54" s="8">
        <v>46106</v>
      </c>
      <c r="J54" t="s">
        <v>189</v>
      </c>
    </row>
    <row r="55" spans="1:10" x14ac:dyDescent="0.35">
      <c r="A55" t="s">
        <v>218</v>
      </c>
      <c r="B55" t="s">
        <v>219</v>
      </c>
      <c r="C55" t="s">
        <v>220</v>
      </c>
      <c r="D55" t="s">
        <v>63</v>
      </c>
      <c r="E55" t="s">
        <v>86</v>
      </c>
      <c r="F55" t="s">
        <v>40</v>
      </c>
      <c r="G55" t="s">
        <v>41</v>
      </c>
      <c r="H55" s="6">
        <v>4906</v>
      </c>
      <c r="I55" s="8">
        <v>46156</v>
      </c>
    </row>
    <row r="56" spans="1:10" x14ac:dyDescent="0.35">
      <c r="A56" t="s">
        <v>221</v>
      </c>
      <c r="B56" t="s">
        <v>222</v>
      </c>
      <c r="C56" t="s">
        <v>223</v>
      </c>
      <c r="D56" t="s">
        <v>38</v>
      </c>
      <c r="E56" t="s">
        <v>46</v>
      </c>
      <c r="F56" t="s">
        <v>40</v>
      </c>
      <c r="G56" t="s">
        <v>41</v>
      </c>
      <c r="H56" s="6">
        <v>25339</v>
      </c>
      <c r="I56" s="8">
        <v>46080</v>
      </c>
    </row>
    <row r="57" spans="1:10" x14ac:dyDescent="0.35">
      <c r="A57" t="s">
        <v>224</v>
      </c>
      <c r="B57" t="s">
        <v>225</v>
      </c>
      <c r="C57" t="s">
        <v>226</v>
      </c>
      <c r="D57" t="s">
        <v>56</v>
      </c>
      <c r="E57" t="s">
        <v>64</v>
      </c>
      <c r="F57" t="s">
        <v>40</v>
      </c>
      <c r="G57" t="s">
        <v>41</v>
      </c>
      <c r="H57" s="6">
        <v>89937</v>
      </c>
    </row>
    <row r="58" spans="1:10" x14ac:dyDescent="0.35">
      <c r="A58" t="s">
        <v>227</v>
      </c>
      <c r="B58" t="s">
        <v>228</v>
      </c>
      <c r="C58" t="s">
        <v>229</v>
      </c>
      <c r="D58" t="s">
        <v>115</v>
      </c>
      <c r="E58" t="s">
        <v>46</v>
      </c>
      <c r="F58" t="s">
        <v>40</v>
      </c>
      <c r="G58" t="s">
        <v>41</v>
      </c>
      <c r="H58" s="6">
        <v>86326</v>
      </c>
      <c r="I58" s="8">
        <v>46060</v>
      </c>
    </row>
    <row r="59" spans="1:10" x14ac:dyDescent="0.35">
      <c r="A59" t="s">
        <v>230</v>
      </c>
      <c r="B59" t="s">
        <v>231</v>
      </c>
      <c r="C59" t="s">
        <v>232</v>
      </c>
      <c r="D59" t="s">
        <v>93</v>
      </c>
      <c r="E59" t="s">
        <v>86</v>
      </c>
      <c r="F59" t="s">
        <v>40</v>
      </c>
      <c r="G59" t="s">
        <v>58</v>
      </c>
      <c r="H59" s="6">
        <v>135232</v>
      </c>
      <c r="I59" s="8">
        <v>46135</v>
      </c>
      <c r="J59" t="s">
        <v>189</v>
      </c>
    </row>
    <row r="60" spans="1:10" x14ac:dyDescent="0.35">
      <c r="A60" t="s">
        <v>233</v>
      </c>
      <c r="B60" t="s">
        <v>169</v>
      </c>
      <c r="C60" t="s">
        <v>234</v>
      </c>
      <c r="D60" t="s">
        <v>105</v>
      </c>
      <c r="E60" t="s">
        <v>97</v>
      </c>
      <c r="F60" t="s">
        <v>40</v>
      </c>
      <c r="G60" t="s">
        <v>41</v>
      </c>
      <c r="H60" s="6">
        <v>4256</v>
      </c>
      <c r="I60" s="8">
        <v>46078</v>
      </c>
    </row>
    <row r="61" spans="1:10" x14ac:dyDescent="0.35">
      <c r="A61" t="s">
        <v>235</v>
      </c>
      <c r="B61" t="s">
        <v>127</v>
      </c>
      <c r="C61" t="s">
        <v>236</v>
      </c>
      <c r="D61" t="s">
        <v>51</v>
      </c>
      <c r="E61" t="s">
        <v>39</v>
      </c>
      <c r="F61" t="s">
        <v>40</v>
      </c>
      <c r="G61" t="s">
        <v>41</v>
      </c>
      <c r="H61" s="6">
        <v>27714</v>
      </c>
      <c r="I61" s="8">
        <v>46142</v>
      </c>
    </row>
    <row r="62" spans="1:10" x14ac:dyDescent="0.35">
      <c r="A62" t="s">
        <v>237</v>
      </c>
      <c r="B62" t="s">
        <v>238</v>
      </c>
      <c r="C62" t="s">
        <v>239</v>
      </c>
      <c r="D62" t="s">
        <v>75</v>
      </c>
      <c r="E62" t="s">
        <v>64</v>
      </c>
      <c r="F62" t="s">
        <v>40</v>
      </c>
      <c r="G62" t="s">
        <v>41</v>
      </c>
      <c r="H62" s="6">
        <v>19253</v>
      </c>
      <c r="I62" s="8">
        <v>46081</v>
      </c>
    </row>
    <row r="63" spans="1:10" x14ac:dyDescent="0.35">
      <c r="A63" t="s">
        <v>240</v>
      </c>
      <c r="B63" t="s">
        <v>241</v>
      </c>
      <c r="C63" t="s">
        <v>242</v>
      </c>
      <c r="D63" t="s">
        <v>93</v>
      </c>
      <c r="E63" t="s">
        <v>97</v>
      </c>
      <c r="F63" t="s">
        <v>47</v>
      </c>
      <c r="G63" t="s">
        <v>41</v>
      </c>
      <c r="H63" s="6">
        <v>65578</v>
      </c>
    </row>
    <row r="64" spans="1:10" x14ac:dyDescent="0.35">
      <c r="A64" t="s">
        <v>243</v>
      </c>
      <c r="B64" t="s">
        <v>244</v>
      </c>
      <c r="C64" t="s">
        <v>245</v>
      </c>
      <c r="D64" t="s">
        <v>51</v>
      </c>
      <c r="E64" t="s">
        <v>57</v>
      </c>
      <c r="F64" t="s">
        <v>40</v>
      </c>
      <c r="G64" t="s">
        <v>41</v>
      </c>
      <c r="H64" s="6">
        <v>15945</v>
      </c>
      <c r="I64" s="8">
        <v>46069</v>
      </c>
    </row>
    <row r="65" spans="1:10" x14ac:dyDescent="0.35">
      <c r="A65" t="s">
        <v>246</v>
      </c>
      <c r="B65" t="s">
        <v>247</v>
      </c>
      <c r="C65" t="s">
        <v>248</v>
      </c>
      <c r="D65" t="s">
        <v>63</v>
      </c>
      <c r="E65" t="s">
        <v>64</v>
      </c>
      <c r="F65" t="s">
        <v>40</v>
      </c>
      <c r="G65" t="s">
        <v>58</v>
      </c>
      <c r="H65" s="6">
        <v>231129</v>
      </c>
      <c r="I65" s="8">
        <v>46061</v>
      </c>
      <c r="J65" t="s">
        <v>59</v>
      </c>
    </row>
    <row r="66" spans="1:10" x14ac:dyDescent="0.35">
      <c r="A66" t="s">
        <v>249</v>
      </c>
      <c r="B66" t="s">
        <v>250</v>
      </c>
      <c r="C66" t="s">
        <v>251</v>
      </c>
      <c r="D66" t="s">
        <v>63</v>
      </c>
      <c r="E66" t="s">
        <v>46</v>
      </c>
      <c r="F66" t="s">
        <v>40</v>
      </c>
      <c r="G66" t="s">
        <v>41</v>
      </c>
      <c r="H66" s="6">
        <v>33444</v>
      </c>
    </row>
    <row r="67" spans="1:10" x14ac:dyDescent="0.35">
      <c r="A67" t="s">
        <v>252</v>
      </c>
      <c r="B67" t="s">
        <v>253</v>
      </c>
      <c r="C67" t="s">
        <v>254</v>
      </c>
      <c r="D67" t="s">
        <v>105</v>
      </c>
      <c r="E67" t="s">
        <v>46</v>
      </c>
      <c r="F67" t="s">
        <v>138</v>
      </c>
      <c r="G67" t="s">
        <v>41</v>
      </c>
      <c r="H67" s="6">
        <v>44386</v>
      </c>
      <c r="I67" s="8">
        <v>46089</v>
      </c>
    </row>
    <row r="68" spans="1:10" x14ac:dyDescent="0.35">
      <c r="A68" t="s">
        <v>255</v>
      </c>
      <c r="B68" t="s">
        <v>124</v>
      </c>
      <c r="C68" t="s">
        <v>256</v>
      </c>
      <c r="D68" t="s">
        <v>93</v>
      </c>
      <c r="E68" t="s">
        <v>52</v>
      </c>
      <c r="F68" t="s">
        <v>40</v>
      </c>
      <c r="G68" t="s">
        <v>41</v>
      </c>
      <c r="H68" s="6">
        <v>48777</v>
      </c>
      <c r="I68" s="8">
        <v>46119</v>
      </c>
    </row>
    <row r="69" spans="1:10" x14ac:dyDescent="0.35">
      <c r="A69" t="s">
        <v>257</v>
      </c>
      <c r="B69" t="s">
        <v>258</v>
      </c>
      <c r="C69" t="s">
        <v>259</v>
      </c>
      <c r="D69" t="s">
        <v>93</v>
      </c>
      <c r="E69" t="s">
        <v>57</v>
      </c>
      <c r="F69" t="s">
        <v>47</v>
      </c>
      <c r="G69" t="s">
        <v>41</v>
      </c>
      <c r="H69" s="6">
        <v>65240</v>
      </c>
      <c r="I69" s="8">
        <v>46121</v>
      </c>
    </row>
    <row r="70" spans="1:10" x14ac:dyDescent="0.35">
      <c r="A70" t="s">
        <v>260</v>
      </c>
      <c r="B70" t="s">
        <v>261</v>
      </c>
      <c r="C70" t="s">
        <v>262</v>
      </c>
      <c r="D70" t="s">
        <v>75</v>
      </c>
      <c r="E70" t="s">
        <v>46</v>
      </c>
      <c r="F70" t="s">
        <v>40</v>
      </c>
      <c r="G70" t="s">
        <v>41</v>
      </c>
      <c r="H70" s="6">
        <v>16955</v>
      </c>
      <c r="I70" s="8">
        <v>46116</v>
      </c>
    </row>
    <row r="71" spans="1:10" x14ac:dyDescent="0.35">
      <c r="A71" t="s">
        <v>263</v>
      </c>
      <c r="B71" t="s">
        <v>264</v>
      </c>
      <c r="C71" t="s">
        <v>265</v>
      </c>
      <c r="D71" t="s">
        <v>105</v>
      </c>
      <c r="E71" t="s">
        <v>86</v>
      </c>
      <c r="F71" t="s">
        <v>101</v>
      </c>
      <c r="G71" t="s">
        <v>41</v>
      </c>
      <c r="H71" s="6">
        <v>85581</v>
      </c>
      <c r="I71" s="8">
        <v>46082</v>
      </c>
    </row>
    <row r="72" spans="1:10" x14ac:dyDescent="0.35">
      <c r="A72" t="s">
        <v>266</v>
      </c>
      <c r="B72" t="s">
        <v>267</v>
      </c>
      <c r="C72" t="s">
        <v>268</v>
      </c>
      <c r="D72" t="s">
        <v>51</v>
      </c>
      <c r="E72" t="s">
        <v>57</v>
      </c>
      <c r="F72" t="s">
        <v>40</v>
      </c>
      <c r="G72" t="s">
        <v>41</v>
      </c>
      <c r="H72" s="6">
        <v>62769</v>
      </c>
      <c r="I72" s="8">
        <v>46091</v>
      </c>
    </row>
    <row r="73" spans="1:10" x14ac:dyDescent="0.35">
      <c r="A73" t="s">
        <v>269</v>
      </c>
      <c r="B73" t="s">
        <v>270</v>
      </c>
      <c r="C73" t="s">
        <v>271</v>
      </c>
      <c r="D73" t="s">
        <v>63</v>
      </c>
      <c r="E73" t="s">
        <v>97</v>
      </c>
      <c r="F73" t="s">
        <v>40</v>
      </c>
      <c r="G73" t="s">
        <v>41</v>
      </c>
      <c r="H73" s="6">
        <v>84323</v>
      </c>
      <c r="I73" s="8">
        <v>46118</v>
      </c>
    </row>
    <row r="74" spans="1:10" x14ac:dyDescent="0.35">
      <c r="A74" t="s">
        <v>272</v>
      </c>
      <c r="B74" t="s">
        <v>273</v>
      </c>
      <c r="C74" t="s">
        <v>274</v>
      </c>
      <c r="D74" t="s">
        <v>93</v>
      </c>
      <c r="E74" t="s">
        <v>86</v>
      </c>
      <c r="F74" t="s">
        <v>40</v>
      </c>
      <c r="G74" t="s">
        <v>41</v>
      </c>
      <c r="H74" s="6">
        <v>67336</v>
      </c>
      <c r="I74" s="8">
        <v>46091</v>
      </c>
    </row>
    <row r="75" spans="1:10" x14ac:dyDescent="0.35">
      <c r="A75" t="s">
        <v>275</v>
      </c>
      <c r="B75" t="s">
        <v>276</v>
      </c>
      <c r="C75" t="s">
        <v>277</v>
      </c>
      <c r="D75" t="s">
        <v>51</v>
      </c>
      <c r="E75" t="s">
        <v>64</v>
      </c>
      <c r="F75" t="s">
        <v>40</v>
      </c>
      <c r="G75" t="s">
        <v>41</v>
      </c>
      <c r="H75" s="6">
        <v>44909</v>
      </c>
      <c r="I75" s="8">
        <v>46094</v>
      </c>
    </row>
    <row r="76" spans="1:10" x14ac:dyDescent="0.35">
      <c r="A76" t="s">
        <v>278</v>
      </c>
      <c r="B76" t="s">
        <v>279</v>
      </c>
      <c r="C76" t="s">
        <v>280</v>
      </c>
      <c r="D76" t="s">
        <v>115</v>
      </c>
      <c r="E76" t="s">
        <v>86</v>
      </c>
      <c r="F76" t="s">
        <v>40</v>
      </c>
      <c r="G76" t="s">
        <v>41</v>
      </c>
      <c r="H76" s="6">
        <v>87087</v>
      </c>
      <c r="I76" s="8">
        <v>46127</v>
      </c>
    </row>
    <row r="77" spans="1:10" x14ac:dyDescent="0.35">
      <c r="A77" t="s">
        <v>281</v>
      </c>
      <c r="B77" t="s">
        <v>282</v>
      </c>
      <c r="C77" t="s">
        <v>283</v>
      </c>
      <c r="D77" t="s">
        <v>63</v>
      </c>
      <c r="E77" t="s">
        <v>86</v>
      </c>
      <c r="F77" t="s">
        <v>40</v>
      </c>
      <c r="G77" t="s">
        <v>58</v>
      </c>
      <c r="H77" s="6">
        <v>23792</v>
      </c>
      <c r="I77" s="8">
        <v>46114</v>
      </c>
      <c r="J77" t="s">
        <v>76</v>
      </c>
    </row>
    <row r="78" spans="1:10" x14ac:dyDescent="0.35">
      <c r="A78" t="s">
        <v>284</v>
      </c>
      <c r="B78" t="s">
        <v>285</v>
      </c>
      <c r="C78" t="s">
        <v>286</v>
      </c>
      <c r="D78" t="s">
        <v>45</v>
      </c>
      <c r="E78" t="s">
        <v>64</v>
      </c>
      <c r="F78" t="s">
        <v>40</v>
      </c>
      <c r="G78" t="s">
        <v>41</v>
      </c>
      <c r="H78" s="6">
        <v>47979</v>
      </c>
      <c r="I78" s="8">
        <v>46105</v>
      </c>
    </row>
    <row r="79" spans="1:10" x14ac:dyDescent="0.35">
      <c r="A79" t="s">
        <v>287</v>
      </c>
      <c r="B79" t="s">
        <v>288</v>
      </c>
      <c r="C79" t="s">
        <v>289</v>
      </c>
      <c r="D79" t="s">
        <v>45</v>
      </c>
      <c r="E79" t="s">
        <v>97</v>
      </c>
      <c r="F79" t="s">
        <v>40</v>
      </c>
      <c r="G79" t="s">
        <v>41</v>
      </c>
      <c r="H79" s="6">
        <v>8505</v>
      </c>
      <c r="I79" s="8">
        <v>46115</v>
      </c>
    </row>
    <row r="80" spans="1:10" x14ac:dyDescent="0.35">
      <c r="A80" t="s">
        <v>290</v>
      </c>
      <c r="B80" t="s">
        <v>291</v>
      </c>
      <c r="C80" t="s">
        <v>292</v>
      </c>
      <c r="D80" t="s">
        <v>56</v>
      </c>
      <c r="E80" t="s">
        <v>52</v>
      </c>
      <c r="F80" t="s">
        <v>40</v>
      </c>
      <c r="G80" t="s">
        <v>41</v>
      </c>
      <c r="H80" s="6">
        <v>70011</v>
      </c>
      <c r="I80" s="8">
        <v>46051</v>
      </c>
    </row>
    <row r="81" spans="1:9" x14ac:dyDescent="0.35">
      <c r="A81" t="s">
        <v>293</v>
      </c>
      <c r="B81" t="s">
        <v>294</v>
      </c>
      <c r="C81" t="s">
        <v>295</v>
      </c>
      <c r="D81" t="s">
        <v>51</v>
      </c>
      <c r="E81" t="s">
        <v>57</v>
      </c>
      <c r="F81" t="s">
        <v>40</v>
      </c>
      <c r="G81" t="s">
        <v>41</v>
      </c>
      <c r="H81" s="6">
        <v>58683</v>
      </c>
      <c r="I81" s="8">
        <v>46093</v>
      </c>
    </row>
    <row r="82" spans="1:9" x14ac:dyDescent="0.35">
      <c r="A82" t="s">
        <v>296</v>
      </c>
      <c r="B82" t="s">
        <v>294</v>
      </c>
      <c r="C82" t="s">
        <v>297</v>
      </c>
      <c r="D82" t="s">
        <v>105</v>
      </c>
      <c r="E82" t="s">
        <v>86</v>
      </c>
      <c r="F82" t="s">
        <v>40</v>
      </c>
      <c r="G82" t="s">
        <v>41</v>
      </c>
      <c r="H82" s="6">
        <v>61536</v>
      </c>
      <c r="I82" s="8">
        <v>46055</v>
      </c>
    </row>
    <row r="83" spans="1:9" x14ac:dyDescent="0.35">
      <c r="A83" t="s">
        <v>298</v>
      </c>
      <c r="B83" t="s">
        <v>299</v>
      </c>
      <c r="C83" t="s">
        <v>300</v>
      </c>
      <c r="D83" t="s">
        <v>63</v>
      </c>
      <c r="E83" t="s">
        <v>46</v>
      </c>
      <c r="F83" t="s">
        <v>40</v>
      </c>
      <c r="G83" t="s">
        <v>41</v>
      </c>
      <c r="H83" s="6">
        <v>18281</v>
      </c>
      <c r="I83" s="8">
        <v>46088</v>
      </c>
    </row>
    <row r="84" spans="1:9" x14ac:dyDescent="0.35">
      <c r="A84" t="s">
        <v>301</v>
      </c>
      <c r="B84" t="s">
        <v>302</v>
      </c>
      <c r="C84" t="s">
        <v>303</v>
      </c>
      <c r="D84" t="s">
        <v>38</v>
      </c>
      <c r="E84" t="s">
        <v>68</v>
      </c>
      <c r="F84" t="s">
        <v>40</v>
      </c>
      <c r="G84" t="s">
        <v>41</v>
      </c>
      <c r="H84" s="6">
        <v>62417</v>
      </c>
    </row>
    <row r="85" spans="1:9" x14ac:dyDescent="0.35">
      <c r="A85" t="s">
        <v>304</v>
      </c>
      <c r="B85" t="s">
        <v>305</v>
      </c>
      <c r="C85" t="s">
        <v>306</v>
      </c>
      <c r="D85" t="s">
        <v>63</v>
      </c>
      <c r="E85" t="s">
        <v>64</v>
      </c>
      <c r="F85" t="s">
        <v>40</v>
      </c>
      <c r="G85" t="s">
        <v>41</v>
      </c>
      <c r="H85" s="6">
        <v>73264</v>
      </c>
      <c r="I85" s="8">
        <v>46051</v>
      </c>
    </row>
    <row r="86" spans="1:9" x14ac:dyDescent="0.35">
      <c r="A86" t="s">
        <v>307</v>
      </c>
      <c r="B86" t="s">
        <v>308</v>
      </c>
      <c r="C86" t="s">
        <v>309</v>
      </c>
      <c r="D86" t="s">
        <v>38</v>
      </c>
      <c r="E86" t="s">
        <v>46</v>
      </c>
      <c r="F86" t="s">
        <v>40</v>
      </c>
      <c r="G86" t="s">
        <v>41</v>
      </c>
      <c r="H86" s="6">
        <v>73086</v>
      </c>
      <c r="I86" s="8">
        <v>46129</v>
      </c>
    </row>
    <row r="87" spans="1:9" x14ac:dyDescent="0.35">
      <c r="A87" t="s">
        <v>310</v>
      </c>
      <c r="B87" t="s">
        <v>311</v>
      </c>
      <c r="C87" t="s">
        <v>312</v>
      </c>
      <c r="D87" t="s">
        <v>51</v>
      </c>
      <c r="E87" t="s">
        <v>97</v>
      </c>
      <c r="F87" t="s">
        <v>40</v>
      </c>
      <c r="G87" t="s">
        <v>41</v>
      </c>
      <c r="H87" s="6">
        <v>88388</v>
      </c>
      <c r="I87" s="8">
        <v>46096</v>
      </c>
    </row>
    <row r="88" spans="1:9" x14ac:dyDescent="0.35">
      <c r="A88" t="s">
        <v>313</v>
      </c>
      <c r="B88" t="s">
        <v>314</v>
      </c>
      <c r="C88" t="s">
        <v>315</v>
      </c>
      <c r="D88" t="s">
        <v>105</v>
      </c>
      <c r="E88" t="s">
        <v>97</v>
      </c>
      <c r="F88" t="s">
        <v>40</v>
      </c>
      <c r="G88" t="s">
        <v>41</v>
      </c>
      <c r="H88" s="6">
        <v>77412</v>
      </c>
      <c r="I88" s="8">
        <v>46087</v>
      </c>
    </row>
    <row r="89" spans="1:9" x14ac:dyDescent="0.35">
      <c r="A89" t="s">
        <v>316</v>
      </c>
      <c r="B89" t="s">
        <v>317</v>
      </c>
      <c r="C89" t="s">
        <v>318</v>
      </c>
      <c r="D89" t="s">
        <v>56</v>
      </c>
      <c r="E89" t="s">
        <v>46</v>
      </c>
      <c r="F89" t="s">
        <v>47</v>
      </c>
      <c r="G89" t="s">
        <v>41</v>
      </c>
      <c r="H89" s="6">
        <v>67920</v>
      </c>
      <c r="I89" s="8">
        <v>46073</v>
      </c>
    </row>
    <row r="90" spans="1:9" x14ac:dyDescent="0.35">
      <c r="A90" t="s">
        <v>319</v>
      </c>
      <c r="B90" t="s">
        <v>320</v>
      </c>
      <c r="C90" t="s">
        <v>321</v>
      </c>
      <c r="D90" t="s">
        <v>115</v>
      </c>
      <c r="E90" t="s">
        <v>97</v>
      </c>
      <c r="F90" t="s">
        <v>40</v>
      </c>
      <c r="G90" t="s">
        <v>41</v>
      </c>
      <c r="H90" s="6">
        <v>15633</v>
      </c>
    </row>
    <row r="91" spans="1:9" x14ac:dyDescent="0.35">
      <c r="A91" t="s">
        <v>322</v>
      </c>
      <c r="B91" t="s">
        <v>323</v>
      </c>
      <c r="C91" t="s">
        <v>324</v>
      </c>
      <c r="D91" t="s">
        <v>63</v>
      </c>
      <c r="E91" t="s">
        <v>52</v>
      </c>
      <c r="F91" t="s">
        <v>40</v>
      </c>
      <c r="G91" t="s">
        <v>41</v>
      </c>
      <c r="H91" s="6">
        <v>84803</v>
      </c>
      <c r="I91" s="8">
        <v>46093</v>
      </c>
    </row>
    <row r="92" spans="1:9" x14ac:dyDescent="0.35">
      <c r="A92" t="s">
        <v>325</v>
      </c>
      <c r="B92" t="s">
        <v>326</v>
      </c>
      <c r="C92" t="s">
        <v>327</v>
      </c>
      <c r="D92" t="s">
        <v>105</v>
      </c>
      <c r="E92" t="s">
        <v>68</v>
      </c>
      <c r="F92" t="s">
        <v>40</v>
      </c>
      <c r="G92" t="s">
        <v>41</v>
      </c>
      <c r="H92" s="6">
        <v>45536</v>
      </c>
      <c r="I92" s="8">
        <v>46070</v>
      </c>
    </row>
    <row r="93" spans="1:9" x14ac:dyDescent="0.35">
      <c r="A93" t="s">
        <v>328</v>
      </c>
      <c r="B93" t="s">
        <v>329</v>
      </c>
      <c r="C93" t="s">
        <v>330</v>
      </c>
      <c r="D93" t="s">
        <v>115</v>
      </c>
      <c r="E93" t="s">
        <v>86</v>
      </c>
      <c r="F93" t="s">
        <v>47</v>
      </c>
      <c r="G93" t="s">
        <v>41</v>
      </c>
      <c r="H93" s="6">
        <v>46131</v>
      </c>
      <c r="I93" s="8">
        <v>46053</v>
      </c>
    </row>
    <row r="94" spans="1:9" x14ac:dyDescent="0.35">
      <c r="A94" t="s">
        <v>331</v>
      </c>
      <c r="B94" t="s">
        <v>305</v>
      </c>
      <c r="C94" t="s">
        <v>332</v>
      </c>
      <c r="D94" t="s">
        <v>51</v>
      </c>
      <c r="E94" t="s">
        <v>39</v>
      </c>
      <c r="F94" t="s">
        <v>40</v>
      </c>
      <c r="G94" t="s">
        <v>41</v>
      </c>
      <c r="H94" s="6">
        <v>74538</v>
      </c>
    </row>
    <row r="95" spans="1:9" x14ac:dyDescent="0.35">
      <c r="A95" t="s">
        <v>333</v>
      </c>
      <c r="B95" t="s">
        <v>334</v>
      </c>
      <c r="C95" t="s">
        <v>335</v>
      </c>
      <c r="D95" t="s">
        <v>63</v>
      </c>
      <c r="E95" t="s">
        <v>52</v>
      </c>
      <c r="F95" t="s">
        <v>40</v>
      </c>
      <c r="G95" t="s">
        <v>41</v>
      </c>
      <c r="H95" s="6">
        <v>18824</v>
      </c>
      <c r="I95" s="8">
        <v>46097</v>
      </c>
    </row>
    <row r="96" spans="1:9" x14ac:dyDescent="0.35">
      <c r="A96" t="s">
        <v>336</v>
      </c>
      <c r="B96" t="s">
        <v>337</v>
      </c>
      <c r="C96" t="s">
        <v>338</v>
      </c>
      <c r="D96" t="s">
        <v>75</v>
      </c>
      <c r="E96" t="s">
        <v>68</v>
      </c>
      <c r="F96" t="s">
        <v>138</v>
      </c>
      <c r="G96" t="s">
        <v>41</v>
      </c>
      <c r="H96" s="6">
        <v>78105</v>
      </c>
      <c r="I96" s="8">
        <v>46125</v>
      </c>
    </row>
    <row r="97" spans="1:10" x14ac:dyDescent="0.35">
      <c r="A97" t="s">
        <v>339</v>
      </c>
      <c r="B97" t="s">
        <v>340</v>
      </c>
      <c r="C97" t="s">
        <v>341</v>
      </c>
      <c r="D97" t="s">
        <v>75</v>
      </c>
      <c r="E97" t="s">
        <v>52</v>
      </c>
      <c r="F97" t="s">
        <v>40</v>
      </c>
      <c r="G97" t="s">
        <v>41</v>
      </c>
      <c r="H97" s="6">
        <v>56181</v>
      </c>
      <c r="I97" s="8">
        <v>46070</v>
      </c>
    </row>
    <row r="98" spans="1:10" x14ac:dyDescent="0.35">
      <c r="A98" t="s">
        <v>342</v>
      </c>
      <c r="B98" t="s">
        <v>343</v>
      </c>
      <c r="C98" t="s">
        <v>344</v>
      </c>
      <c r="D98" t="s">
        <v>93</v>
      </c>
      <c r="E98" t="s">
        <v>39</v>
      </c>
      <c r="F98" t="s">
        <v>40</v>
      </c>
      <c r="G98" t="s">
        <v>41</v>
      </c>
      <c r="H98" s="6">
        <v>70892</v>
      </c>
      <c r="I98" s="8">
        <v>46165</v>
      </c>
    </row>
    <row r="99" spans="1:10" x14ac:dyDescent="0.35">
      <c r="A99" t="s">
        <v>345</v>
      </c>
      <c r="B99" t="s">
        <v>346</v>
      </c>
      <c r="C99" t="s">
        <v>347</v>
      </c>
      <c r="D99" t="s">
        <v>45</v>
      </c>
      <c r="E99" t="s">
        <v>97</v>
      </c>
      <c r="F99" t="s">
        <v>47</v>
      </c>
      <c r="G99" t="s">
        <v>58</v>
      </c>
      <c r="H99" s="6">
        <v>242573</v>
      </c>
      <c r="I99" s="8">
        <v>46141</v>
      </c>
      <c r="J99" t="s">
        <v>76</v>
      </c>
    </row>
    <row r="100" spans="1:10" x14ac:dyDescent="0.35">
      <c r="A100" t="s">
        <v>348</v>
      </c>
      <c r="B100" t="s">
        <v>349</v>
      </c>
      <c r="C100" t="s">
        <v>350</v>
      </c>
      <c r="D100" t="s">
        <v>75</v>
      </c>
      <c r="E100" t="s">
        <v>52</v>
      </c>
      <c r="F100" t="s">
        <v>138</v>
      </c>
      <c r="G100" t="s">
        <v>58</v>
      </c>
      <c r="H100" s="6">
        <v>1042</v>
      </c>
      <c r="I100" s="8">
        <v>46086</v>
      </c>
      <c r="J100" t="s">
        <v>116</v>
      </c>
    </row>
    <row r="101" spans="1:10" x14ac:dyDescent="0.35">
      <c r="A101" t="s">
        <v>351</v>
      </c>
      <c r="B101" t="s">
        <v>352</v>
      </c>
      <c r="C101" t="s">
        <v>353</v>
      </c>
      <c r="D101" t="s">
        <v>56</v>
      </c>
      <c r="E101" t="s">
        <v>97</v>
      </c>
      <c r="F101" t="s">
        <v>40</v>
      </c>
      <c r="G101" t="s">
        <v>41</v>
      </c>
      <c r="H101" s="6">
        <v>59668</v>
      </c>
      <c r="I101" s="8">
        <v>46151</v>
      </c>
    </row>
    <row r="102" spans="1:10" x14ac:dyDescent="0.35">
      <c r="A102" t="s">
        <v>354</v>
      </c>
      <c r="B102" t="s">
        <v>355</v>
      </c>
      <c r="C102" t="s">
        <v>356</v>
      </c>
      <c r="D102" t="s">
        <v>51</v>
      </c>
      <c r="E102" t="s">
        <v>64</v>
      </c>
      <c r="F102" t="s">
        <v>40</v>
      </c>
      <c r="G102" t="s">
        <v>41</v>
      </c>
      <c r="H102" s="6">
        <v>45614</v>
      </c>
      <c r="I102" s="8">
        <v>46066</v>
      </c>
    </row>
    <row r="103" spans="1:10" x14ac:dyDescent="0.35">
      <c r="A103" t="s">
        <v>357</v>
      </c>
      <c r="B103" t="s">
        <v>358</v>
      </c>
      <c r="C103" t="s">
        <v>359</v>
      </c>
      <c r="D103" t="s">
        <v>45</v>
      </c>
      <c r="E103" t="s">
        <v>86</v>
      </c>
      <c r="F103" t="s">
        <v>40</v>
      </c>
      <c r="G103" t="s">
        <v>41</v>
      </c>
      <c r="H103" s="6">
        <v>79715</v>
      </c>
      <c r="I103" s="8">
        <v>46141</v>
      </c>
    </row>
    <row r="104" spans="1:10" x14ac:dyDescent="0.35">
      <c r="A104" t="s">
        <v>360</v>
      </c>
      <c r="B104" t="s">
        <v>361</v>
      </c>
      <c r="C104" t="s">
        <v>362</v>
      </c>
      <c r="D104" t="s">
        <v>38</v>
      </c>
      <c r="E104" t="s">
        <v>86</v>
      </c>
      <c r="F104" t="s">
        <v>138</v>
      </c>
      <c r="G104" t="s">
        <v>41</v>
      </c>
      <c r="H104" s="6">
        <v>18430</v>
      </c>
      <c r="I104" s="8">
        <v>46133</v>
      </c>
    </row>
    <row r="105" spans="1:10" x14ac:dyDescent="0.35">
      <c r="A105" t="s">
        <v>363</v>
      </c>
      <c r="B105" t="s">
        <v>364</v>
      </c>
      <c r="C105" t="s">
        <v>365</v>
      </c>
      <c r="D105" t="s">
        <v>63</v>
      </c>
      <c r="E105" t="s">
        <v>64</v>
      </c>
      <c r="F105" t="s">
        <v>40</v>
      </c>
      <c r="G105" t="s">
        <v>41</v>
      </c>
      <c r="H105" s="6">
        <v>22382</v>
      </c>
      <c r="I105" s="8">
        <v>46126</v>
      </c>
    </row>
    <row r="106" spans="1:10" x14ac:dyDescent="0.35">
      <c r="A106" t="s">
        <v>366</v>
      </c>
      <c r="B106" t="s">
        <v>367</v>
      </c>
      <c r="C106" t="s">
        <v>368</v>
      </c>
      <c r="D106" t="s">
        <v>75</v>
      </c>
      <c r="E106" t="s">
        <v>97</v>
      </c>
      <c r="F106" t="s">
        <v>40</v>
      </c>
      <c r="G106" t="s">
        <v>41</v>
      </c>
      <c r="H106" s="6">
        <v>11034</v>
      </c>
      <c r="I106" s="8">
        <v>46133</v>
      </c>
    </row>
    <row r="107" spans="1:10" x14ac:dyDescent="0.35">
      <c r="A107" t="s">
        <v>369</v>
      </c>
      <c r="B107" t="s">
        <v>370</v>
      </c>
      <c r="C107" t="s">
        <v>371</v>
      </c>
      <c r="D107" t="s">
        <v>93</v>
      </c>
      <c r="E107" t="s">
        <v>86</v>
      </c>
      <c r="F107" t="s">
        <v>47</v>
      </c>
      <c r="G107" t="s">
        <v>58</v>
      </c>
      <c r="H107" s="6">
        <v>129695</v>
      </c>
      <c r="I107" s="8">
        <v>46084</v>
      </c>
      <c r="J107" t="s">
        <v>59</v>
      </c>
    </row>
    <row r="108" spans="1:10" x14ac:dyDescent="0.35">
      <c r="A108" t="s">
        <v>372</v>
      </c>
      <c r="B108" t="s">
        <v>373</v>
      </c>
      <c r="C108" t="s">
        <v>374</v>
      </c>
      <c r="D108" t="s">
        <v>63</v>
      </c>
      <c r="E108" t="s">
        <v>46</v>
      </c>
      <c r="F108" t="s">
        <v>40</v>
      </c>
      <c r="G108" t="s">
        <v>41</v>
      </c>
      <c r="H108" s="6">
        <v>45870</v>
      </c>
      <c r="I108" s="8">
        <v>46055</v>
      </c>
    </row>
    <row r="109" spans="1:10" x14ac:dyDescent="0.35">
      <c r="A109" t="s">
        <v>375</v>
      </c>
      <c r="B109" t="s">
        <v>156</v>
      </c>
      <c r="C109" t="s">
        <v>376</v>
      </c>
      <c r="D109" t="s">
        <v>115</v>
      </c>
      <c r="E109" t="s">
        <v>46</v>
      </c>
      <c r="F109" t="s">
        <v>40</v>
      </c>
      <c r="G109" t="s">
        <v>41</v>
      </c>
      <c r="H109" s="6">
        <v>72528</v>
      </c>
      <c r="I109" s="8">
        <v>46166</v>
      </c>
    </row>
    <row r="110" spans="1:10" x14ac:dyDescent="0.35">
      <c r="A110" t="s">
        <v>377</v>
      </c>
      <c r="B110" t="s">
        <v>378</v>
      </c>
      <c r="C110" t="s">
        <v>379</v>
      </c>
      <c r="D110" t="s">
        <v>38</v>
      </c>
      <c r="E110" t="s">
        <v>97</v>
      </c>
      <c r="F110" t="s">
        <v>40</v>
      </c>
      <c r="G110" t="s">
        <v>41</v>
      </c>
      <c r="H110" s="6">
        <v>59155</v>
      </c>
      <c r="I110" s="8">
        <v>46158</v>
      </c>
    </row>
    <row r="111" spans="1:10" x14ac:dyDescent="0.35">
      <c r="A111" t="s">
        <v>380</v>
      </c>
      <c r="B111" t="s">
        <v>381</v>
      </c>
      <c r="C111" t="s">
        <v>382</v>
      </c>
      <c r="D111" t="s">
        <v>75</v>
      </c>
      <c r="E111" t="s">
        <v>39</v>
      </c>
      <c r="F111" t="s">
        <v>40</v>
      </c>
      <c r="G111" t="s">
        <v>41</v>
      </c>
      <c r="H111" s="6">
        <v>59317</v>
      </c>
    </row>
    <row r="112" spans="1:10" x14ac:dyDescent="0.35">
      <c r="A112" t="s">
        <v>383</v>
      </c>
      <c r="B112" t="s">
        <v>384</v>
      </c>
      <c r="C112" t="s">
        <v>385</v>
      </c>
      <c r="D112" t="s">
        <v>75</v>
      </c>
      <c r="E112" t="s">
        <v>64</v>
      </c>
      <c r="F112" t="s">
        <v>40</v>
      </c>
      <c r="G112" t="s">
        <v>41</v>
      </c>
      <c r="H112" s="6">
        <v>71514</v>
      </c>
      <c r="I112" s="8">
        <v>46095</v>
      </c>
    </row>
    <row r="113" spans="1:10" x14ac:dyDescent="0.35">
      <c r="A113" t="s">
        <v>386</v>
      </c>
      <c r="B113" t="s">
        <v>81</v>
      </c>
      <c r="C113" t="s">
        <v>387</v>
      </c>
      <c r="D113" t="s">
        <v>45</v>
      </c>
      <c r="E113" t="s">
        <v>86</v>
      </c>
      <c r="F113" t="s">
        <v>47</v>
      </c>
      <c r="G113" t="s">
        <v>58</v>
      </c>
      <c r="H113" s="6">
        <v>69389</v>
      </c>
      <c r="I113" s="8">
        <v>46065</v>
      </c>
      <c r="J113" t="s">
        <v>76</v>
      </c>
    </row>
    <row r="114" spans="1:10" x14ac:dyDescent="0.35">
      <c r="A114" t="s">
        <v>388</v>
      </c>
      <c r="B114" t="s">
        <v>389</v>
      </c>
      <c r="C114" t="s">
        <v>390</v>
      </c>
      <c r="D114" t="s">
        <v>38</v>
      </c>
      <c r="E114" t="s">
        <v>39</v>
      </c>
      <c r="F114" t="s">
        <v>47</v>
      </c>
      <c r="G114" t="s">
        <v>41</v>
      </c>
      <c r="H114" s="6">
        <v>40838</v>
      </c>
      <c r="I114" s="8">
        <v>46119</v>
      </c>
    </row>
    <row r="115" spans="1:10" x14ac:dyDescent="0.35">
      <c r="A115" t="s">
        <v>391</v>
      </c>
      <c r="B115" t="s">
        <v>392</v>
      </c>
      <c r="C115" t="s">
        <v>393</v>
      </c>
      <c r="D115" t="s">
        <v>38</v>
      </c>
      <c r="E115" t="s">
        <v>39</v>
      </c>
      <c r="F115" t="s">
        <v>40</v>
      </c>
      <c r="G115" t="s">
        <v>58</v>
      </c>
      <c r="H115" s="6">
        <v>179518</v>
      </c>
      <c r="I115" s="8">
        <v>46084</v>
      </c>
      <c r="J115" t="s">
        <v>59</v>
      </c>
    </row>
    <row r="116" spans="1:10" x14ac:dyDescent="0.35">
      <c r="A116" t="s">
        <v>394</v>
      </c>
      <c r="B116" t="s">
        <v>395</v>
      </c>
      <c r="C116" t="s">
        <v>396</v>
      </c>
      <c r="D116" t="s">
        <v>45</v>
      </c>
      <c r="E116" t="s">
        <v>97</v>
      </c>
      <c r="F116" t="s">
        <v>40</v>
      </c>
      <c r="G116" t="s">
        <v>41</v>
      </c>
      <c r="H116" s="6">
        <v>52280</v>
      </c>
      <c r="I116" s="8">
        <v>46160</v>
      </c>
    </row>
    <row r="117" spans="1:10" x14ac:dyDescent="0.35">
      <c r="A117" t="s">
        <v>397</v>
      </c>
      <c r="B117" t="s">
        <v>61</v>
      </c>
      <c r="C117" t="s">
        <v>398</v>
      </c>
      <c r="D117" t="s">
        <v>115</v>
      </c>
      <c r="E117" t="s">
        <v>52</v>
      </c>
      <c r="F117" t="s">
        <v>138</v>
      </c>
      <c r="G117" t="s">
        <v>41</v>
      </c>
      <c r="H117" s="6">
        <v>34231</v>
      </c>
      <c r="I117" s="8">
        <v>46135</v>
      </c>
    </row>
    <row r="118" spans="1:10" x14ac:dyDescent="0.35">
      <c r="A118" t="s">
        <v>399</v>
      </c>
      <c r="B118" t="s">
        <v>194</v>
      </c>
      <c r="C118" t="s">
        <v>400</v>
      </c>
      <c r="D118" t="s">
        <v>45</v>
      </c>
      <c r="E118" t="s">
        <v>97</v>
      </c>
      <c r="F118" t="s">
        <v>40</v>
      </c>
      <c r="G118" t="s">
        <v>41</v>
      </c>
      <c r="H118" s="6">
        <v>67016</v>
      </c>
      <c r="I118" s="8">
        <v>46131</v>
      </c>
    </row>
    <row r="119" spans="1:10" x14ac:dyDescent="0.35">
      <c r="A119" t="s">
        <v>401</v>
      </c>
      <c r="B119" t="s">
        <v>402</v>
      </c>
      <c r="C119" t="s">
        <v>403</v>
      </c>
      <c r="D119" t="s">
        <v>45</v>
      </c>
      <c r="E119" t="s">
        <v>68</v>
      </c>
      <c r="F119" t="s">
        <v>47</v>
      </c>
      <c r="G119" t="s">
        <v>41</v>
      </c>
      <c r="H119" s="6">
        <v>39847</v>
      </c>
      <c r="I119" s="8">
        <v>46141</v>
      </c>
    </row>
    <row r="120" spans="1:10" x14ac:dyDescent="0.35">
      <c r="A120" t="s">
        <v>404</v>
      </c>
      <c r="B120" t="s">
        <v>405</v>
      </c>
      <c r="C120" t="s">
        <v>406</v>
      </c>
      <c r="D120" t="s">
        <v>56</v>
      </c>
      <c r="E120" t="s">
        <v>46</v>
      </c>
      <c r="F120" t="s">
        <v>40</v>
      </c>
      <c r="G120" t="s">
        <v>58</v>
      </c>
      <c r="H120" s="6">
        <v>24132</v>
      </c>
      <c r="I120" s="8">
        <v>46088</v>
      </c>
      <c r="J120" t="s">
        <v>116</v>
      </c>
    </row>
    <row r="121" spans="1:10" x14ac:dyDescent="0.35">
      <c r="A121" t="s">
        <v>407</v>
      </c>
      <c r="B121" t="s">
        <v>408</v>
      </c>
      <c r="C121" t="s">
        <v>409</v>
      </c>
      <c r="D121" t="s">
        <v>105</v>
      </c>
      <c r="E121" t="s">
        <v>52</v>
      </c>
      <c r="F121" t="s">
        <v>40</v>
      </c>
      <c r="G121" t="s">
        <v>41</v>
      </c>
      <c r="H121" s="6">
        <v>84505</v>
      </c>
      <c r="I121" s="8">
        <v>46091</v>
      </c>
    </row>
    <row r="122" spans="1:10" x14ac:dyDescent="0.35">
      <c r="A122" t="s">
        <v>410</v>
      </c>
      <c r="B122" t="s">
        <v>411</v>
      </c>
      <c r="C122" t="s">
        <v>412</v>
      </c>
      <c r="D122" t="s">
        <v>63</v>
      </c>
      <c r="E122" t="s">
        <v>86</v>
      </c>
      <c r="F122" t="s">
        <v>47</v>
      </c>
      <c r="G122" t="s">
        <v>41</v>
      </c>
      <c r="H122" s="6">
        <v>13331</v>
      </c>
      <c r="I122" s="8">
        <v>46131</v>
      </c>
    </row>
    <row r="123" spans="1:10" x14ac:dyDescent="0.35">
      <c r="A123" t="s">
        <v>413</v>
      </c>
      <c r="B123" t="s">
        <v>414</v>
      </c>
      <c r="C123" t="s">
        <v>415</v>
      </c>
      <c r="D123" t="s">
        <v>51</v>
      </c>
      <c r="E123" t="s">
        <v>97</v>
      </c>
      <c r="F123" t="s">
        <v>40</v>
      </c>
      <c r="G123" t="s">
        <v>41</v>
      </c>
      <c r="H123" s="6">
        <v>48794</v>
      </c>
      <c r="I123" s="8">
        <v>46057</v>
      </c>
    </row>
    <row r="124" spans="1:10" x14ac:dyDescent="0.35">
      <c r="A124" t="s">
        <v>416</v>
      </c>
      <c r="B124" t="s">
        <v>84</v>
      </c>
      <c r="C124" t="s">
        <v>417</v>
      </c>
      <c r="D124" t="s">
        <v>105</v>
      </c>
      <c r="E124" t="s">
        <v>64</v>
      </c>
      <c r="F124" t="s">
        <v>40</v>
      </c>
      <c r="G124" t="s">
        <v>41</v>
      </c>
      <c r="H124" s="6">
        <v>27687</v>
      </c>
      <c r="I124" s="8">
        <v>46118</v>
      </c>
    </row>
    <row r="125" spans="1:10" x14ac:dyDescent="0.35">
      <c r="A125" t="s">
        <v>418</v>
      </c>
      <c r="B125" t="s">
        <v>419</v>
      </c>
      <c r="C125" t="s">
        <v>420</v>
      </c>
      <c r="D125" t="s">
        <v>75</v>
      </c>
      <c r="E125" t="s">
        <v>64</v>
      </c>
      <c r="F125" t="s">
        <v>40</v>
      </c>
      <c r="G125" t="s">
        <v>41</v>
      </c>
      <c r="H125" s="6">
        <v>22021</v>
      </c>
      <c r="I125" s="8">
        <v>46091</v>
      </c>
    </row>
    <row r="126" spans="1:10" x14ac:dyDescent="0.35">
      <c r="A126" t="s">
        <v>421</v>
      </c>
      <c r="B126" t="s">
        <v>422</v>
      </c>
      <c r="C126" t="s">
        <v>423</v>
      </c>
      <c r="D126" t="s">
        <v>63</v>
      </c>
      <c r="E126" t="s">
        <v>39</v>
      </c>
      <c r="F126" t="s">
        <v>40</v>
      </c>
      <c r="G126" t="s">
        <v>41</v>
      </c>
      <c r="H126" s="6">
        <v>74124</v>
      </c>
      <c r="I126" s="8">
        <v>46148</v>
      </c>
    </row>
    <row r="127" spans="1:10" x14ac:dyDescent="0.35">
      <c r="A127" t="s">
        <v>424</v>
      </c>
      <c r="B127" t="s">
        <v>425</v>
      </c>
      <c r="C127" t="s">
        <v>426</v>
      </c>
      <c r="D127" t="s">
        <v>75</v>
      </c>
      <c r="E127" t="s">
        <v>68</v>
      </c>
      <c r="F127" t="s">
        <v>40</v>
      </c>
      <c r="G127" t="s">
        <v>41</v>
      </c>
      <c r="H127" s="6">
        <v>18564</v>
      </c>
      <c r="I127" s="8">
        <v>46084</v>
      </c>
    </row>
    <row r="128" spans="1:10" x14ac:dyDescent="0.35">
      <c r="A128" t="s">
        <v>427</v>
      </c>
      <c r="B128" t="s">
        <v>121</v>
      </c>
      <c r="C128" t="s">
        <v>428</v>
      </c>
      <c r="D128" t="s">
        <v>45</v>
      </c>
      <c r="E128" t="s">
        <v>86</v>
      </c>
      <c r="F128" t="s">
        <v>40</v>
      </c>
      <c r="G128" t="s">
        <v>58</v>
      </c>
      <c r="H128" s="6">
        <v>96960</v>
      </c>
      <c r="I128" s="8">
        <v>46088</v>
      </c>
      <c r="J128" t="s">
        <v>116</v>
      </c>
    </row>
    <row r="129" spans="1:10" x14ac:dyDescent="0.35">
      <c r="A129" t="s">
        <v>429</v>
      </c>
      <c r="B129" t="s">
        <v>430</v>
      </c>
      <c r="C129" t="s">
        <v>431</v>
      </c>
      <c r="D129" t="s">
        <v>75</v>
      </c>
      <c r="E129" t="s">
        <v>52</v>
      </c>
      <c r="F129" t="s">
        <v>40</v>
      </c>
      <c r="G129" t="s">
        <v>41</v>
      </c>
      <c r="H129" s="6">
        <v>24128</v>
      </c>
      <c r="I129" s="8">
        <v>46097</v>
      </c>
    </row>
    <row r="130" spans="1:10" x14ac:dyDescent="0.35">
      <c r="A130" t="s">
        <v>432</v>
      </c>
      <c r="B130" t="s">
        <v>433</v>
      </c>
      <c r="C130" t="s">
        <v>434</v>
      </c>
      <c r="D130" t="s">
        <v>93</v>
      </c>
      <c r="E130" t="s">
        <v>68</v>
      </c>
      <c r="F130" t="s">
        <v>40</v>
      </c>
      <c r="G130" t="s">
        <v>41</v>
      </c>
      <c r="H130" s="6">
        <v>38973</v>
      </c>
      <c r="I130" s="8">
        <v>46147</v>
      </c>
    </row>
    <row r="131" spans="1:10" x14ac:dyDescent="0.35">
      <c r="A131" t="s">
        <v>435</v>
      </c>
      <c r="B131" t="s">
        <v>381</v>
      </c>
      <c r="C131" t="s">
        <v>436</v>
      </c>
      <c r="D131" t="s">
        <v>38</v>
      </c>
      <c r="E131" t="s">
        <v>68</v>
      </c>
      <c r="F131" t="s">
        <v>40</v>
      </c>
      <c r="G131" t="s">
        <v>41</v>
      </c>
      <c r="H131" s="6">
        <v>79892</v>
      </c>
      <c r="I131" s="8">
        <v>46151</v>
      </c>
    </row>
    <row r="132" spans="1:10" x14ac:dyDescent="0.35">
      <c r="A132" t="s">
        <v>437</v>
      </c>
      <c r="B132" t="s">
        <v>438</v>
      </c>
      <c r="C132" t="s">
        <v>439</v>
      </c>
      <c r="D132" t="s">
        <v>56</v>
      </c>
      <c r="E132" t="s">
        <v>52</v>
      </c>
      <c r="F132" t="s">
        <v>40</v>
      </c>
      <c r="G132" t="s">
        <v>41</v>
      </c>
      <c r="H132" s="6">
        <v>82319</v>
      </c>
      <c r="I132" s="8">
        <v>46083</v>
      </c>
    </row>
    <row r="133" spans="1:10" x14ac:dyDescent="0.35">
      <c r="A133" t="s">
        <v>440</v>
      </c>
      <c r="B133" t="s">
        <v>441</v>
      </c>
      <c r="C133" t="s">
        <v>442</v>
      </c>
      <c r="D133" t="s">
        <v>75</v>
      </c>
      <c r="E133" t="s">
        <v>39</v>
      </c>
      <c r="F133" t="s">
        <v>40</v>
      </c>
      <c r="G133" t="s">
        <v>41</v>
      </c>
      <c r="H133" s="6">
        <v>59251</v>
      </c>
      <c r="I133" s="8">
        <v>46061</v>
      </c>
    </row>
    <row r="134" spans="1:10" x14ac:dyDescent="0.35">
      <c r="A134" t="s">
        <v>443</v>
      </c>
      <c r="B134" t="s">
        <v>308</v>
      </c>
      <c r="C134" t="s">
        <v>444</v>
      </c>
      <c r="D134" t="s">
        <v>75</v>
      </c>
      <c r="E134" t="s">
        <v>52</v>
      </c>
      <c r="F134" t="s">
        <v>40</v>
      </c>
      <c r="G134" t="s">
        <v>41</v>
      </c>
      <c r="H134" s="6">
        <v>58603</v>
      </c>
    </row>
    <row r="135" spans="1:10" x14ac:dyDescent="0.35">
      <c r="A135" t="s">
        <v>445</v>
      </c>
      <c r="B135" t="s">
        <v>446</v>
      </c>
      <c r="C135" t="s">
        <v>447</v>
      </c>
      <c r="D135" t="s">
        <v>93</v>
      </c>
      <c r="E135" t="s">
        <v>46</v>
      </c>
      <c r="F135" t="s">
        <v>40</v>
      </c>
      <c r="G135" t="s">
        <v>41</v>
      </c>
      <c r="H135" s="6">
        <v>82398</v>
      </c>
      <c r="I135" s="8">
        <v>46107</v>
      </c>
    </row>
    <row r="136" spans="1:10" x14ac:dyDescent="0.35">
      <c r="A136" t="s">
        <v>448</v>
      </c>
      <c r="B136" t="s">
        <v>449</v>
      </c>
      <c r="C136" t="s">
        <v>450</v>
      </c>
      <c r="D136" t="s">
        <v>63</v>
      </c>
      <c r="E136" t="s">
        <v>64</v>
      </c>
      <c r="F136" t="s">
        <v>40</v>
      </c>
      <c r="G136" t="s">
        <v>41</v>
      </c>
      <c r="H136" s="6">
        <v>31846</v>
      </c>
      <c r="I136" s="8">
        <v>46091</v>
      </c>
    </row>
    <row r="137" spans="1:10" x14ac:dyDescent="0.35">
      <c r="A137" t="s">
        <v>451</v>
      </c>
      <c r="B137" t="s">
        <v>452</v>
      </c>
      <c r="C137" t="s">
        <v>453</v>
      </c>
      <c r="D137" t="s">
        <v>63</v>
      </c>
      <c r="E137" t="s">
        <v>57</v>
      </c>
      <c r="F137" t="s">
        <v>40</v>
      </c>
      <c r="G137" t="s">
        <v>41</v>
      </c>
      <c r="H137" s="6">
        <v>79747</v>
      </c>
      <c r="I137" s="8">
        <v>46116</v>
      </c>
    </row>
    <row r="138" spans="1:10" x14ac:dyDescent="0.35">
      <c r="A138" t="s">
        <v>454</v>
      </c>
      <c r="B138" t="s">
        <v>267</v>
      </c>
      <c r="C138" t="s">
        <v>455</v>
      </c>
      <c r="D138" t="s">
        <v>75</v>
      </c>
      <c r="E138" t="s">
        <v>86</v>
      </c>
      <c r="F138" t="s">
        <v>40</v>
      </c>
      <c r="G138" t="s">
        <v>41</v>
      </c>
      <c r="H138" s="6">
        <v>66499</v>
      </c>
    </row>
    <row r="139" spans="1:10" x14ac:dyDescent="0.35">
      <c r="A139" t="s">
        <v>456</v>
      </c>
      <c r="B139" t="s">
        <v>340</v>
      </c>
      <c r="C139" t="s">
        <v>457</v>
      </c>
      <c r="D139" t="s">
        <v>93</v>
      </c>
      <c r="E139" t="s">
        <v>39</v>
      </c>
      <c r="F139" t="s">
        <v>40</v>
      </c>
      <c r="G139" t="s">
        <v>41</v>
      </c>
      <c r="H139" s="6">
        <v>20252</v>
      </c>
      <c r="I139" s="8">
        <v>46052</v>
      </c>
    </row>
    <row r="140" spans="1:10" x14ac:dyDescent="0.35">
      <c r="A140" t="s">
        <v>458</v>
      </c>
      <c r="B140" t="s">
        <v>208</v>
      </c>
      <c r="C140" t="s">
        <v>459</v>
      </c>
      <c r="D140" t="s">
        <v>75</v>
      </c>
      <c r="E140" t="s">
        <v>86</v>
      </c>
      <c r="F140" t="s">
        <v>40</v>
      </c>
      <c r="G140" t="s">
        <v>41</v>
      </c>
      <c r="H140" s="6">
        <v>47096</v>
      </c>
      <c r="I140" s="8">
        <v>46132</v>
      </c>
    </row>
    <row r="141" spans="1:10" x14ac:dyDescent="0.35">
      <c r="A141" t="s">
        <v>460</v>
      </c>
      <c r="B141" t="s">
        <v>461</v>
      </c>
      <c r="C141" t="s">
        <v>462</v>
      </c>
      <c r="D141" t="s">
        <v>38</v>
      </c>
      <c r="E141" t="s">
        <v>52</v>
      </c>
      <c r="F141" t="s">
        <v>47</v>
      </c>
      <c r="G141" t="s">
        <v>58</v>
      </c>
      <c r="H141" s="6">
        <v>11930</v>
      </c>
      <c r="I141" s="8">
        <v>46154</v>
      </c>
      <c r="J141" t="s">
        <v>148</v>
      </c>
    </row>
    <row r="142" spans="1:10" x14ac:dyDescent="0.35">
      <c r="A142" t="s">
        <v>463</v>
      </c>
      <c r="B142" t="s">
        <v>464</v>
      </c>
      <c r="C142" t="s">
        <v>465</v>
      </c>
      <c r="D142" t="s">
        <v>75</v>
      </c>
      <c r="E142" t="s">
        <v>97</v>
      </c>
      <c r="F142" t="s">
        <v>40</v>
      </c>
      <c r="G142" t="s">
        <v>41</v>
      </c>
      <c r="H142" s="6">
        <v>58432</v>
      </c>
      <c r="I142" s="8">
        <v>46086</v>
      </c>
    </row>
    <row r="143" spans="1:10" x14ac:dyDescent="0.35">
      <c r="A143" t="s">
        <v>466</v>
      </c>
      <c r="B143" t="s">
        <v>323</v>
      </c>
      <c r="C143" t="s">
        <v>467</v>
      </c>
      <c r="D143" t="s">
        <v>51</v>
      </c>
      <c r="E143" t="s">
        <v>46</v>
      </c>
      <c r="F143" t="s">
        <v>40</v>
      </c>
      <c r="G143" t="s">
        <v>41</v>
      </c>
      <c r="H143" s="6">
        <v>57757</v>
      </c>
      <c r="I143" s="8">
        <v>46137</v>
      </c>
    </row>
    <row r="144" spans="1:10" x14ac:dyDescent="0.35">
      <c r="A144" t="s">
        <v>468</v>
      </c>
      <c r="B144" t="s">
        <v>247</v>
      </c>
      <c r="C144" t="s">
        <v>469</v>
      </c>
      <c r="D144" t="s">
        <v>38</v>
      </c>
      <c r="E144" t="s">
        <v>39</v>
      </c>
      <c r="F144" t="s">
        <v>40</v>
      </c>
      <c r="G144" t="s">
        <v>41</v>
      </c>
      <c r="H144" s="6">
        <v>77034</v>
      </c>
      <c r="I144" s="8">
        <v>46146</v>
      </c>
    </row>
    <row r="145" spans="1:10" x14ac:dyDescent="0.35">
      <c r="A145" t="s">
        <v>470</v>
      </c>
      <c r="B145" t="s">
        <v>471</v>
      </c>
      <c r="C145" t="s">
        <v>472</v>
      </c>
      <c r="D145" t="s">
        <v>38</v>
      </c>
      <c r="E145" t="s">
        <v>97</v>
      </c>
      <c r="F145" t="s">
        <v>40</v>
      </c>
      <c r="G145" t="s">
        <v>41</v>
      </c>
      <c r="H145" s="6">
        <v>898</v>
      </c>
      <c r="I145" s="8">
        <v>46148</v>
      </c>
    </row>
    <row r="146" spans="1:10" x14ac:dyDescent="0.35">
      <c r="A146" t="s">
        <v>473</v>
      </c>
      <c r="B146" t="s">
        <v>308</v>
      </c>
      <c r="C146" t="s">
        <v>474</v>
      </c>
      <c r="D146" t="s">
        <v>105</v>
      </c>
      <c r="E146" t="s">
        <v>39</v>
      </c>
      <c r="F146" t="s">
        <v>40</v>
      </c>
      <c r="G146" t="s">
        <v>41</v>
      </c>
      <c r="H146" s="6">
        <v>5252</v>
      </c>
      <c r="I146" s="8">
        <v>46108</v>
      </c>
    </row>
    <row r="147" spans="1:10" x14ac:dyDescent="0.35">
      <c r="A147" t="s">
        <v>475</v>
      </c>
      <c r="B147" t="s">
        <v>476</v>
      </c>
      <c r="C147" t="s">
        <v>477</v>
      </c>
      <c r="D147" t="s">
        <v>56</v>
      </c>
      <c r="E147" t="s">
        <v>46</v>
      </c>
      <c r="F147" t="s">
        <v>40</v>
      </c>
      <c r="G147" t="s">
        <v>41</v>
      </c>
      <c r="H147" s="6">
        <v>42470</v>
      </c>
      <c r="I147" s="8">
        <v>46064</v>
      </c>
    </row>
    <row r="148" spans="1:10" x14ac:dyDescent="0.35">
      <c r="A148" t="s">
        <v>478</v>
      </c>
      <c r="B148" t="s">
        <v>291</v>
      </c>
      <c r="C148" t="s">
        <v>479</v>
      </c>
      <c r="D148" t="s">
        <v>63</v>
      </c>
      <c r="E148" t="s">
        <v>64</v>
      </c>
      <c r="F148" t="s">
        <v>40</v>
      </c>
      <c r="G148" t="s">
        <v>41</v>
      </c>
      <c r="H148" s="6">
        <v>6483</v>
      </c>
      <c r="I148" s="8">
        <v>46057</v>
      </c>
    </row>
    <row r="149" spans="1:10" x14ac:dyDescent="0.35">
      <c r="A149" t="s">
        <v>480</v>
      </c>
      <c r="B149" t="s">
        <v>481</v>
      </c>
      <c r="C149" t="s">
        <v>482</v>
      </c>
      <c r="D149" t="s">
        <v>51</v>
      </c>
      <c r="E149" t="s">
        <v>97</v>
      </c>
      <c r="F149" t="s">
        <v>40</v>
      </c>
      <c r="G149" t="s">
        <v>41</v>
      </c>
      <c r="H149" s="6">
        <v>32590</v>
      </c>
      <c r="I149" s="8">
        <v>46141</v>
      </c>
    </row>
    <row r="150" spans="1:10" x14ac:dyDescent="0.35">
      <c r="A150" t="s">
        <v>483</v>
      </c>
      <c r="B150" t="s">
        <v>452</v>
      </c>
      <c r="C150" t="s">
        <v>484</v>
      </c>
      <c r="D150" t="s">
        <v>63</v>
      </c>
      <c r="E150" t="s">
        <v>68</v>
      </c>
      <c r="F150" t="s">
        <v>47</v>
      </c>
      <c r="G150" t="s">
        <v>41</v>
      </c>
      <c r="H150" s="6">
        <v>80922</v>
      </c>
    </row>
    <row r="151" spans="1:10" x14ac:dyDescent="0.35">
      <c r="A151" t="s">
        <v>485</v>
      </c>
      <c r="B151" t="s">
        <v>486</v>
      </c>
      <c r="C151" t="s">
        <v>487</v>
      </c>
      <c r="D151" t="s">
        <v>105</v>
      </c>
      <c r="E151" t="s">
        <v>97</v>
      </c>
      <c r="F151" t="s">
        <v>40</v>
      </c>
      <c r="G151" t="s">
        <v>41</v>
      </c>
      <c r="H151" s="6">
        <v>1784</v>
      </c>
      <c r="I151" s="8">
        <v>46132</v>
      </c>
    </row>
    <row r="152" spans="1:10" x14ac:dyDescent="0.35">
      <c r="A152" t="s">
        <v>488</v>
      </c>
      <c r="B152" t="s">
        <v>184</v>
      </c>
      <c r="C152" t="s">
        <v>489</v>
      </c>
      <c r="D152" t="s">
        <v>93</v>
      </c>
      <c r="E152" t="s">
        <v>64</v>
      </c>
      <c r="F152" t="s">
        <v>47</v>
      </c>
      <c r="G152" t="s">
        <v>58</v>
      </c>
      <c r="H152" s="6">
        <v>29507</v>
      </c>
      <c r="I152" s="8">
        <v>46166</v>
      </c>
      <c r="J152" t="s">
        <v>148</v>
      </c>
    </row>
    <row r="153" spans="1:10" x14ac:dyDescent="0.35">
      <c r="A153" t="s">
        <v>490</v>
      </c>
      <c r="B153" t="s">
        <v>491</v>
      </c>
      <c r="C153" t="s">
        <v>492</v>
      </c>
      <c r="D153" t="s">
        <v>93</v>
      </c>
      <c r="E153" t="s">
        <v>97</v>
      </c>
      <c r="F153" t="s">
        <v>40</v>
      </c>
      <c r="G153" t="s">
        <v>41</v>
      </c>
      <c r="H153" s="6">
        <v>79035</v>
      </c>
      <c r="I153" s="8">
        <v>46103</v>
      </c>
    </row>
    <row r="154" spans="1:10" x14ac:dyDescent="0.35">
      <c r="A154" t="s">
        <v>493</v>
      </c>
      <c r="B154" t="s">
        <v>494</v>
      </c>
      <c r="C154" t="s">
        <v>495</v>
      </c>
      <c r="D154" t="s">
        <v>56</v>
      </c>
      <c r="E154" t="s">
        <v>39</v>
      </c>
      <c r="F154" t="s">
        <v>40</v>
      </c>
      <c r="G154" t="s">
        <v>58</v>
      </c>
      <c r="H154" s="6">
        <v>82023</v>
      </c>
      <c r="I154" s="8">
        <v>46128</v>
      </c>
      <c r="J154" t="s">
        <v>116</v>
      </c>
    </row>
    <row r="155" spans="1:10" x14ac:dyDescent="0.35">
      <c r="A155" t="s">
        <v>496</v>
      </c>
      <c r="B155" t="s">
        <v>241</v>
      </c>
      <c r="C155" t="s">
        <v>497</v>
      </c>
      <c r="D155" t="s">
        <v>75</v>
      </c>
      <c r="E155" t="s">
        <v>57</v>
      </c>
      <c r="F155" t="s">
        <v>40</v>
      </c>
      <c r="G155" t="s">
        <v>41</v>
      </c>
      <c r="H155" s="6">
        <v>2846</v>
      </c>
      <c r="I155" s="8">
        <v>46129</v>
      </c>
    </row>
    <row r="156" spans="1:10" x14ac:dyDescent="0.35">
      <c r="A156" t="s">
        <v>498</v>
      </c>
      <c r="B156" t="s">
        <v>499</v>
      </c>
      <c r="C156" t="s">
        <v>500</v>
      </c>
      <c r="D156" t="s">
        <v>93</v>
      </c>
      <c r="E156" t="s">
        <v>64</v>
      </c>
      <c r="F156" t="s">
        <v>40</v>
      </c>
      <c r="G156" t="s">
        <v>41</v>
      </c>
      <c r="H156" s="6">
        <v>87889</v>
      </c>
      <c r="I156" s="8">
        <v>46128</v>
      </c>
    </row>
    <row r="157" spans="1:10" x14ac:dyDescent="0.35">
      <c r="A157" t="s">
        <v>501</v>
      </c>
      <c r="B157" t="s">
        <v>502</v>
      </c>
      <c r="C157" t="s">
        <v>503</v>
      </c>
      <c r="D157" t="s">
        <v>38</v>
      </c>
      <c r="E157" t="s">
        <v>39</v>
      </c>
      <c r="F157" t="s">
        <v>138</v>
      </c>
      <c r="G157" t="s">
        <v>41</v>
      </c>
      <c r="H157" s="6">
        <v>46409</v>
      </c>
      <c r="I157" s="8">
        <v>46050</v>
      </c>
    </row>
    <row r="158" spans="1:10" x14ac:dyDescent="0.35">
      <c r="A158" t="s">
        <v>504</v>
      </c>
      <c r="B158" t="s">
        <v>213</v>
      </c>
      <c r="C158" t="s">
        <v>505</v>
      </c>
      <c r="D158" t="s">
        <v>105</v>
      </c>
      <c r="E158" t="s">
        <v>52</v>
      </c>
      <c r="F158" t="s">
        <v>40</v>
      </c>
      <c r="G158" t="s">
        <v>41</v>
      </c>
      <c r="H158" s="6">
        <v>17185</v>
      </c>
      <c r="I158" s="8">
        <v>46050</v>
      </c>
    </row>
    <row r="159" spans="1:10" x14ac:dyDescent="0.35">
      <c r="A159" t="s">
        <v>506</v>
      </c>
      <c r="B159" t="s">
        <v>507</v>
      </c>
      <c r="C159" t="s">
        <v>508</v>
      </c>
      <c r="D159" t="s">
        <v>45</v>
      </c>
      <c r="E159" t="s">
        <v>57</v>
      </c>
      <c r="F159" t="s">
        <v>40</v>
      </c>
      <c r="G159" t="s">
        <v>41</v>
      </c>
      <c r="H159" s="6">
        <v>33230</v>
      </c>
    </row>
    <row r="160" spans="1:10" x14ac:dyDescent="0.35">
      <c r="A160" t="s">
        <v>509</v>
      </c>
      <c r="B160" t="s">
        <v>244</v>
      </c>
      <c r="C160" t="s">
        <v>510</v>
      </c>
      <c r="D160" t="s">
        <v>93</v>
      </c>
      <c r="E160" t="s">
        <v>46</v>
      </c>
      <c r="F160" t="s">
        <v>40</v>
      </c>
      <c r="G160" t="s">
        <v>41</v>
      </c>
      <c r="H160" s="6">
        <v>52914</v>
      </c>
      <c r="I160" s="8">
        <v>46051</v>
      </c>
    </row>
    <row r="161" spans="1:9" x14ac:dyDescent="0.35">
      <c r="A161" t="s">
        <v>511</v>
      </c>
      <c r="B161" t="s">
        <v>282</v>
      </c>
      <c r="C161" t="s">
        <v>512</v>
      </c>
      <c r="D161" t="s">
        <v>63</v>
      </c>
      <c r="E161" t="s">
        <v>57</v>
      </c>
      <c r="F161" t="s">
        <v>47</v>
      </c>
      <c r="G161" t="s">
        <v>41</v>
      </c>
      <c r="H161" s="6">
        <v>43405</v>
      </c>
      <c r="I161" s="8">
        <v>46076</v>
      </c>
    </row>
    <row r="162" spans="1:9" x14ac:dyDescent="0.35">
      <c r="A162" t="s">
        <v>513</v>
      </c>
      <c r="B162" t="s">
        <v>514</v>
      </c>
      <c r="C162" t="s">
        <v>515</v>
      </c>
      <c r="D162" t="s">
        <v>63</v>
      </c>
      <c r="E162" t="s">
        <v>52</v>
      </c>
      <c r="F162" t="s">
        <v>47</v>
      </c>
      <c r="G162" t="s">
        <v>41</v>
      </c>
      <c r="H162" s="6">
        <v>17144</v>
      </c>
      <c r="I162" s="8">
        <v>46053</v>
      </c>
    </row>
    <row r="163" spans="1:9" x14ac:dyDescent="0.35">
      <c r="A163" t="s">
        <v>516</v>
      </c>
      <c r="B163" t="s">
        <v>517</v>
      </c>
      <c r="C163" t="s">
        <v>518</v>
      </c>
      <c r="D163" t="s">
        <v>93</v>
      </c>
      <c r="E163" t="s">
        <v>39</v>
      </c>
      <c r="F163" t="s">
        <v>40</v>
      </c>
      <c r="G163" t="s">
        <v>41</v>
      </c>
      <c r="H163" s="6">
        <v>4801</v>
      </c>
      <c r="I163" s="8">
        <v>46137</v>
      </c>
    </row>
    <row r="164" spans="1:9" x14ac:dyDescent="0.35">
      <c r="A164" t="s">
        <v>519</v>
      </c>
      <c r="B164" t="s">
        <v>520</v>
      </c>
      <c r="C164" t="s">
        <v>521</v>
      </c>
      <c r="D164" t="s">
        <v>38</v>
      </c>
      <c r="E164" t="s">
        <v>86</v>
      </c>
      <c r="F164" t="s">
        <v>40</v>
      </c>
      <c r="G164" t="s">
        <v>41</v>
      </c>
      <c r="H164" s="6">
        <v>28139</v>
      </c>
      <c r="I164" s="8">
        <v>46091</v>
      </c>
    </row>
    <row r="165" spans="1:9" x14ac:dyDescent="0.35">
      <c r="A165" t="s">
        <v>522</v>
      </c>
      <c r="B165" t="s">
        <v>70</v>
      </c>
      <c r="C165" t="s">
        <v>523</v>
      </c>
      <c r="D165" t="s">
        <v>45</v>
      </c>
      <c r="E165" t="s">
        <v>86</v>
      </c>
      <c r="F165" t="s">
        <v>40</v>
      </c>
      <c r="G165" t="s">
        <v>41</v>
      </c>
      <c r="H165" s="6">
        <v>56833</v>
      </c>
      <c r="I165" s="8">
        <v>46114</v>
      </c>
    </row>
    <row r="166" spans="1:9" x14ac:dyDescent="0.35">
      <c r="A166" t="s">
        <v>524</v>
      </c>
      <c r="B166" t="s">
        <v>525</v>
      </c>
      <c r="C166" t="s">
        <v>526</v>
      </c>
      <c r="D166" t="s">
        <v>93</v>
      </c>
      <c r="E166" t="s">
        <v>46</v>
      </c>
      <c r="F166" t="s">
        <v>40</v>
      </c>
      <c r="G166" t="s">
        <v>41</v>
      </c>
      <c r="H166" s="6">
        <v>32946</v>
      </c>
      <c r="I166" s="8">
        <v>46140</v>
      </c>
    </row>
    <row r="167" spans="1:9" x14ac:dyDescent="0.35">
      <c r="A167" t="s">
        <v>527</v>
      </c>
      <c r="B167" t="s">
        <v>528</v>
      </c>
      <c r="C167" t="s">
        <v>529</v>
      </c>
      <c r="D167" t="s">
        <v>75</v>
      </c>
      <c r="E167" t="s">
        <v>68</v>
      </c>
      <c r="F167" t="s">
        <v>40</v>
      </c>
      <c r="G167" t="s">
        <v>41</v>
      </c>
      <c r="H167" s="6">
        <v>29082</v>
      </c>
      <c r="I167" s="8">
        <v>46060</v>
      </c>
    </row>
    <row r="168" spans="1:9" x14ac:dyDescent="0.35">
      <c r="A168" t="s">
        <v>530</v>
      </c>
      <c r="B168" t="s">
        <v>531</v>
      </c>
      <c r="C168" t="s">
        <v>532</v>
      </c>
      <c r="D168" t="s">
        <v>51</v>
      </c>
      <c r="E168" t="s">
        <v>52</v>
      </c>
      <c r="F168" t="s">
        <v>40</v>
      </c>
      <c r="G168" t="s">
        <v>41</v>
      </c>
      <c r="H168" s="6">
        <v>37679</v>
      </c>
      <c r="I168" s="8">
        <v>46072</v>
      </c>
    </row>
    <row r="169" spans="1:9" x14ac:dyDescent="0.35">
      <c r="A169" t="s">
        <v>533</v>
      </c>
      <c r="B169" t="s">
        <v>346</v>
      </c>
      <c r="C169" t="s">
        <v>534</v>
      </c>
      <c r="D169" t="s">
        <v>38</v>
      </c>
      <c r="E169" t="s">
        <v>52</v>
      </c>
      <c r="F169" t="s">
        <v>40</v>
      </c>
      <c r="G169" t="s">
        <v>41</v>
      </c>
      <c r="H169" s="6">
        <v>34927</v>
      </c>
      <c r="I169" s="8">
        <v>46106</v>
      </c>
    </row>
    <row r="170" spans="1:9" x14ac:dyDescent="0.35">
      <c r="A170" t="s">
        <v>535</v>
      </c>
      <c r="B170" t="s">
        <v>84</v>
      </c>
      <c r="C170" t="s">
        <v>536</v>
      </c>
      <c r="D170" t="s">
        <v>56</v>
      </c>
      <c r="E170" t="s">
        <v>86</v>
      </c>
      <c r="F170" t="s">
        <v>47</v>
      </c>
      <c r="G170" t="s">
        <v>41</v>
      </c>
      <c r="H170" s="6">
        <v>68414</v>
      </c>
      <c r="I170" s="8">
        <v>46059</v>
      </c>
    </row>
    <row r="171" spans="1:9" x14ac:dyDescent="0.35">
      <c r="A171" t="s">
        <v>537</v>
      </c>
      <c r="B171" t="s">
        <v>49</v>
      </c>
      <c r="C171" t="s">
        <v>538</v>
      </c>
      <c r="D171" t="s">
        <v>105</v>
      </c>
      <c r="E171" t="s">
        <v>46</v>
      </c>
      <c r="F171" t="s">
        <v>40</v>
      </c>
      <c r="G171" t="s">
        <v>41</v>
      </c>
      <c r="H171" s="6">
        <v>81253</v>
      </c>
      <c r="I171" s="8">
        <v>46161</v>
      </c>
    </row>
    <row r="172" spans="1:9" x14ac:dyDescent="0.35">
      <c r="A172" t="s">
        <v>539</v>
      </c>
      <c r="B172" t="s">
        <v>540</v>
      </c>
      <c r="C172" t="s">
        <v>541</v>
      </c>
      <c r="D172" t="s">
        <v>38</v>
      </c>
      <c r="E172" t="s">
        <v>64</v>
      </c>
      <c r="F172" t="s">
        <v>101</v>
      </c>
      <c r="G172" t="s">
        <v>41</v>
      </c>
      <c r="H172" s="6">
        <v>47927</v>
      </c>
      <c r="I172" s="8">
        <v>46075</v>
      </c>
    </row>
    <row r="173" spans="1:9" x14ac:dyDescent="0.35">
      <c r="A173" t="s">
        <v>542</v>
      </c>
      <c r="B173" t="s">
        <v>543</v>
      </c>
      <c r="C173" t="s">
        <v>544</v>
      </c>
      <c r="D173" t="s">
        <v>45</v>
      </c>
      <c r="E173" t="s">
        <v>39</v>
      </c>
      <c r="F173" t="s">
        <v>40</v>
      </c>
      <c r="G173" t="s">
        <v>41</v>
      </c>
      <c r="H173" s="6">
        <v>44460</v>
      </c>
      <c r="I173" s="8">
        <v>46078</v>
      </c>
    </row>
    <row r="174" spans="1:9" x14ac:dyDescent="0.35">
      <c r="A174" t="s">
        <v>545</v>
      </c>
      <c r="B174" t="s">
        <v>546</v>
      </c>
      <c r="C174" t="s">
        <v>547</v>
      </c>
      <c r="D174" t="s">
        <v>75</v>
      </c>
      <c r="E174" t="s">
        <v>97</v>
      </c>
      <c r="F174" t="s">
        <v>40</v>
      </c>
      <c r="G174" t="s">
        <v>41</v>
      </c>
      <c r="H174" s="6">
        <v>41414</v>
      </c>
      <c r="I174" s="8">
        <v>46087</v>
      </c>
    </row>
    <row r="175" spans="1:9" x14ac:dyDescent="0.35">
      <c r="A175" t="s">
        <v>548</v>
      </c>
      <c r="B175" t="s">
        <v>549</v>
      </c>
      <c r="C175" t="s">
        <v>550</v>
      </c>
      <c r="D175" t="s">
        <v>105</v>
      </c>
      <c r="E175" t="s">
        <v>52</v>
      </c>
      <c r="F175" t="s">
        <v>47</v>
      </c>
      <c r="G175" t="s">
        <v>41</v>
      </c>
      <c r="H175" s="6">
        <v>26730</v>
      </c>
      <c r="I175" s="8">
        <v>46155</v>
      </c>
    </row>
    <row r="176" spans="1:9" x14ac:dyDescent="0.35">
      <c r="A176" t="s">
        <v>551</v>
      </c>
      <c r="B176" t="s">
        <v>181</v>
      </c>
      <c r="C176" t="s">
        <v>552</v>
      </c>
      <c r="D176" t="s">
        <v>38</v>
      </c>
      <c r="E176" t="s">
        <v>64</v>
      </c>
      <c r="F176" t="s">
        <v>40</v>
      </c>
      <c r="G176" t="s">
        <v>41</v>
      </c>
      <c r="H176" s="6">
        <v>70217</v>
      </c>
      <c r="I176" s="8">
        <v>46149</v>
      </c>
    </row>
    <row r="177" spans="1:10" x14ac:dyDescent="0.35">
      <c r="A177" t="s">
        <v>553</v>
      </c>
      <c r="B177" t="s">
        <v>554</v>
      </c>
      <c r="C177" t="s">
        <v>555</v>
      </c>
      <c r="D177" t="s">
        <v>115</v>
      </c>
      <c r="E177" t="s">
        <v>57</v>
      </c>
      <c r="F177" t="s">
        <v>40</v>
      </c>
      <c r="G177" t="s">
        <v>41</v>
      </c>
      <c r="H177" s="6">
        <v>20465</v>
      </c>
    </row>
    <row r="178" spans="1:10" x14ac:dyDescent="0.35">
      <c r="A178" t="s">
        <v>556</v>
      </c>
      <c r="B178" t="s">
        <v>422</v>
      </c>
      <c r="C178" t="s">
        <v>557</v>
      </c>
      <c r="D178" t="s">
        <v>75</v>
      </c>
      <c r="E178" t="s">
        <v>68</v>
      </c>
      <c r="F178" t="s">
        <v>40</v>
      </c>
      <c r="G178" t="s">
        <v>58</v>
      </c>
      <c r="H178" s="6">
        <v>92744</v>
      </c>
      <c r="I178" s="8">
        <v>46091</v>
      </c>
      <c r="J178" t="s">
        <v>59</v>
      </c>
    </row>
    <row r="179" spans="1:10" x14ac:dyDescent="0.35">
      <c r="A179" t="s">
        <v>558</v>
      </c>
      <c r="B179" t="s">
        <v>559</v>
      </c>
      <c r="C179" t="s">
        <v>560</v>
      </c>
      <c r="D179" t="s">
        <v>45</v>
      </c>
      <c r="E179" t="s">
        <v>64</v>
      </c>
      <c r="F179" t="s">
        <v>40</v>
      </c>
      <c r="G179" t="s">
        <v>41</v>
      </c>
      <c r="H179" s="6">
        <v>67039</v>
      </c>
      <c r="I179" s="8">
        <v>46135</v>
      </c>
    </row>
    <row r="180" spans="1:10" x14ac:dyDescent="0.35">
      <c r="A180" t="s">
        <v>561</v>
      </c>
      <c r="B180" t="s">
        <v>103</v>
      </c>
      <c r="C180" t="s">
        <v>562</v>
      </c>
      <c r="D180" t="s">
        <v>51</v>
      </c>
      <c r="E180" t="s">
        <v>86</v>
      </c>
      <c r="F180" t="s">
        <v>40</v>
      </c>
      <c r="G180" t="s">
        <v>41</v>
      </c>
      <c r="H180" s="6">
        <v>10106</v>
      </c>
      <c r="I180" s="8">
        <v>46081</v>
      </c>
    </row>
    <row r="181" spans="1:10" x14ac:dyDescent="0.35">
      <c r="A181" t="s">
        <v>563</v>
      </c>
      <c r="B181" t="s">
        <v>564</v>
      </c>
      <c r="C181" t="s">
        <v>565</v>
      </c>
      <c r="D181" t="s">
        <v>105</v>
      </c>
      <c r="E181" t="s">
        <v>97</v>
      </c>
      <c r="F181" t="s">
        <v>40</v>
      </c>
      <c r="G181" t="s">
        <v>41</v>
      </c>
      <c r="H181" s="6">
        <v>60746</v>
      </c>
      <c r="I181" s="8">
        <v>46142</v>
      </c>
    </row>
  </sheetData>
  <conditionalFormatting sqref="A2:J181">
    <cfRule type="expression" dxfId="3" priority="1">
      <formula>$G2="Yes"</formula>
    </cfRule>
  </conditionalFormatting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52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6" customWidth="1"/>
    <col min="2" max="3" width="12" customWidth="1"/>
    <col min="4" max="4" width="14" customWidth="1"/>
    <col min="5" max="5" width="15" customWidth="1"/>
    <col min="6" max="6" width="19" customWidth="1"/>
    <col min="7" max="7" width="12" customWidth="1"/>
    <col min="8" max="8" width="19" customWidth="1"/>
    <col min="9" max="9" width="20" customWidth="1"/>
    <col min="10" max="10" width="17" customWidth="1"/>
    <col min="11" max="11" width="10" customWidth="1"/>
    <col min="12" max="12" width="18" customWidth="1"/>
    <col min="13" max="13" width="36" customWidth="1"/>
  </cols>
  <sheetData>
    <row r="1" spans="1:13" x14ac:dyDescent="0.35">
      <c r="A1" s="5" t="s">
        <v>566</v>
      </c>
      <c r="B1" s="5" t="s">
        <v>567</v>
      </c>
      <c r="C1" s="5" t="s">
        <v>25</v>
      </c>
      <c r="D1" s="5" t="s">
        <v>568</v>
      </c>
      <c r="E1" s="5" t="s">
        <v>569</v>
      </c>
      <c r="F1" s="5" t="s">
        <v>570</v>
      </c>
      <c r="G1" s="5" t="s">
        <v>571</v>
      </c>
      <c r="H1" s="5" t="s">
        <v>572</v>
      </c>
      <c r="I1" s="5" t="s">
        <v>573</v>
      </c>
      <c r="J1" s="5" t="s">
        <v>574</v>
      </c>
      <c r="K1" s="5" t="s">
        <v>575</v>
      </c>
      <c r="L1" s="5" t="s">
        <v>576</v>
      </c>
      <c r="M1" s="5" t="s">
        <v>577</v>
      </c>
    </row>
    <row r="2" spans="1:13" x14ac:dyDescent="0.35">
      <c r="A2" t="s">
        <v>578</v>
      </c>
      <c r="B2" t="s">
        <v>579</v>
      </c>
      <c r="C2" t="s">
        <v>496</v>
      </c>
      <c r="D2" s="8">
        <v>46137</v>
      </c>
      <c r="E2" s="8">
        <v>46150</v>
      </c>
      <c r="F2" s="8">
        <v>46163</v>
      </c>
      <c r="G2" t="s">
        <v>580</v>
      </c>
      <c r="H2" s="6">
        <v>14047</v>
      </c>
      <c r="I2" s="6">
        <v>8237</v>
      </c>
      <c r="J2" s="6">
        <v>8226</v>
      </c>
      <c r="K2" t="s">
        <v>581</v>
      </c>
      <c r="L2">
        <v>13</v>
      </c>
    </row>
    <row r="3" spans="1:13" x14ac:dyDescent="0.35">
      <c r="A3" t="s">
        <v>582</v>
      </c>
      <c r="B3" t="s">
        <v>583</v>
      </c>
      <c r="C3" t="s">
        <v>230</v>
      </c>
      <c r="D3" s="8">
        <v>46067</v>
      </c>
      <c r="E3" s="8">
        <v>46083</v>
      </c>
      <c r="G3" t="s">
        <v>584</v>
      </c>
      <c r="H3" s="6">
        <v>7147</v>
      </c>
      <c r="I3" s="6">
        <v>5083</v>
      </c>
      <c r="J3" s="6">
        <v>0</v>
      </c>
      <c r="K3" t="s">
        <v>585</v>
      </c>
      <c r="L3">
        <v>87</v>
      </c>
    </row>
    <row r="4" spans="1:13" x14ac:dyDescent="0.35">
      <c r="A4" t="s">
        <v>586</v>
      </c>
      <c r="B4" t="s">
        <v>587</v>
      </c>
      <c r="C4" t="s">
        <v>252</v>
      </c>
      <c r="D4" s="8">
        <v>46119</v>
      </c>
      <c r="E4" s="8">
        <v>46128</v>
      </c>
      <c r="F4" s="8">
        <v>46153</v>
      </c>
      <c r="G4" t="s">
        <v>588</v>
      </c>
      <c r="H4" s="6">
        <v>16306</v>
      </c>
      <c r="I4" s="6">
        <v>10893</v>
      </c>
      <c r="J4" s="6">
        <v>10676</v>
      </c>
      <c r="K4" t="s">
        <v>581</v>
      </c>
      <c r="L4">
        <v>25</v>
      </c>
    </row>
    <row r="5" spans="1:13" x14ac:dyDescent="0.35">
      <c r="A5" t="s">
        <v>589</v>
      </c>
      <c r="B5" t="s">
        <v>590</v>
      </c>
      <c r="C5" t="s">
        <v>504</v>
      </c>
      <c r="D5" s="8">
        <v>46093</v>
      </c>
      <c r="E5" s="8">
        <v>46104</v>
      </c>
      <c r="F5" s="8">
        <v>46119</v>
      </c>
      <c r="G5" t="s">
        <v>580</v>
      </c>
      <c r="H5" s="6">
        <v>6136</v>
      </c>
      <c r="I5" s="6">
        <v>2820</v>
      </c>
      <c r="J5" s="6">
        <v>2729</v>
      </c>
      <c r="K5" t="s">
        <v>581</v>
      </c>
      <c r="L5">
        <v>15</v>
      </c>
    </row>
    <row r="6" spans="1:13" x14ac:dyDescent="0.35">
      <c r="A6" t="s">
        <v>591</v>
      </c>
      <c r="B6" t="s">
        <v>592</v>
      </c>
      <c r="C6" t="s">
        <v>451</v>
      </c>
      <c r="D6" s="8">
        <v>46138</v>
      </c>
      <c r="E6" s="8">
        <v>46147</v>
      </c>
      <c r="F6" s="8">
        <v>46163</v>
      </c>
      <c r="G6" t="s">
        <v>593</v>
      </c>
      <c r="H6" s="6">
        <v>1012</v>
      </c>
      <c r="I6" s="6">
        <v>534</v>
      </c>
      <c r="J6" s="6">
        <v>524</v>
      </c>
      <c r="K6" t="s">
        <v>581</v>
      </c>
      <c r="L6">
        <v>16</v>
      </c>
    </row>
    <row r="7" spans="1:13" x14ac:dyDescent="0.35">
      <c r="A7" t="s">
        <v>594</v>
      </c>
      <c r="B7" t="s">
        <v>595</v>
      </c>
      <c r="C7" t="s">
        <v>443</v>
      </c>
      <c r="D7" s="8">
        <v>46071</v>
      </c>
      <c r="E7" s="8">
        <v>46076</v>
      </c>
      <c r="F7" s="8">
        <v>46085</v>
      </c>
      <c r="G7" t="s">
        <v>596</v>
      </c>
      <c r="H7" s="6">
        <v>12559</v>
      </c>
      <c r="I7" s="6">
        <v>10042</v>
      </c>
      <c r="J7" s="6">
        <v>9563</v>
      </c>
      <c r="K7" t="s">
        <v>581</v>
      </c>
      <c r="L7">
        <v>9</v>
      </c>
    </row>
    <row r="8" spans="1:13" x14ac:dyDescent="0.35">
      <c r="A8" t="s">
        <v>597</v>
      </c>
      <c r="B8" t="s">
        <v>598</v>
      </c>
      <c r="C8" t="s">
        <v>72</v>
      </c>
      <c r="D8" s="8">
        <v>46111</v>
      </c>
      <c r="E8" s="8">
        <v>46127</v>
      </c>
      <c r="G8" t="s">
        <v>596</v>
      </c>
      <c r="H8" s="6">
        <v>7667</v>
      </c>
      <c r="I8" s="6">
        <v>5225</v>
      </c>
      <c r="J8" s="6">
        <v>0</v>
      </c>
      <c r="K8" t="s">
        <v>585</v>
      </c>
      <c r="L8">
        <v>43</v>
      </c>
    </row>
    <row r="9" spans="1:13" x14ac:dyDescent="0.35">
      <c r="A9" t="s">
        <v>599</v>
      </c>
      <c r="B9" t="s">
        <v>600</v>
      </c>
      <c r="C9" t="s">
        <v>237</v>
      </c>
      <c r="D9" s="8">
        <v>46158</v>
      </c>
      <c r="E9" s="8">
        <v>46165</v>
      </c>
      <c r="F9" s="8">
        <v>46177</v>
      </c>
      <c r="G9" t="s">
        <v>596</v>
      </c>
      <c r="H9" s="6">
        <v>11334</v>
      </c>
      <c r="I9" s="6">
        <v>8078</v>
      </c>
      <c r="J9" s="6">
        <v>8029</v>
      </c>
      <c r="K9" t="s">
        <v>581</v>
      </c>
      <c r="L9">
        <v>12</v>
      </c>
    </row>
    <row r="10" spans="1:13" x14ac:dyDescent="0.35">
      <c r="A10" t="s">
        <v>601</v>
      </c>
      <c r="B10" t="s">
        <v>602</v>
      </c>
      <c r="C10" t="s">
        <v>117</v>
      </c>
      <c r="D10" s="8">
        <v>46068</v>
      </c>
      <c r="E10" s="8">
        <v>46074</v>
      </c>
      <c r="F10" s="8">
        <v>46085</v>
      </c>
      <c r="G10" t="s">
        <v>593</v>
      </c>
      <c r="H10" s="6">
        <v>2862</v>
      </c>
      <c r="I10" s="6">
        <v>1815</v>
      </c>
      <c r="J10" s="6">
        <v>1738</v>
      </c>
      <c r="K10" t="s">
        <v>581</v>
      </c>
      <c r="L10">
        <v>11</v>
      </c>
    </row>
    <row r="11" spans="1:13" x14ac:dyDescent="0.35">
      <c r="A11" t="s">
        <v>603</v>
      </c>
      <c r="B11" t="s">
        <v>604</v>
      </c>
      <c r="C11" t="s">
        <v>149</v>
      </c>
      <c r="D11" s="8">
        <v>46058</v>
      </c>
      <c r="E11" s="8">
        <v>46063</v>
      </c>
      <c r="F11" s="8">
        <v>46086</v>
      </c>
      <c r="G11" t="s">
        <v>580</v>
      </c>
      <c r="H11" s="6">
        <v>9377</v>
      </c>
      <c r="I11" s="6">
        <v>5491</v>
      </c>
      <c r="J11" s="6">
        <v>5475</v>
      </c>
      <c r="K11" t="s">
        <v>581</v>
      </c>
      <c r="L11">
        <v>23</v>
      </c>
    </row>
    <row r="12" spans="1:13" x14ac:dyDescent="0.35">
      <c r="A12" t="s">
        <v>605</v>
      </c>
      <c r="B12" t="s">
        <v>606</v>
      </c>
      <c r="C12" t="s">
        <v>77</v>
      </c>
      <c r="D12" s="8">
        <v>46086</v>
      </c>
      <c r="E12" s="8">
        <v>46097</v>
      </c>
      <c r="F12" s="8">
        <v>46121</v>
      </c>
      <c r="G12" t="s">
        <v>593</v>
      </c>
      <c r="H12" s="6">
        <v>14491</v>
      </c>
      <c r="I12" s="6">
        <v>7403</v>
      </c>
      <c r="J12" s="6">
        <v>534</v>
      </c>
      <c r="K12" t="s">
        <v>607</v>
      </c>
      <c r="L12">
        <v>73</v>
      </c>
      <c r="M12" t="s">
        <v>608</v>
      </c>
    </row>
    <row r="13" spans="1:13" x14ac:dyDescent="0.35">
      <c r="A13" t="s">
        <v>609</v>
      </c>
      <c r="B13" t="s">
        <v>610</v>
      </c>
      <c r="C13" t="s">
        <v>224</v>
      </c>
      <c r="D13" s="8">
        <v>46046</v>
      </c>
      <c r="E13" s="8">
        <v>46052</v>
      </c>
      <c r="G13" t="s">
        <v>596</v>
      </c>
      <c r="H13" s="6">
        <v>1456</v>
      </c>
      <c r="I13" s="6">
        <v>997</v>
      </c>
      <c r="J13" s="6">
        <v>0</v>
      </c>
      <c r="K13" t="s">
        <v>585</v>
      </c>
      <c r="L13">
        <v>118</v>
      </c>
    </row>
    <row r="14" spans="1:13" x14ac:dyDescent="0.35">
      <c r="A14" t="s">
        <v>611</v>
      </c>
      <c r="B14" t="s">
        <v>612</v>
      </c>
      <c r="C14" t="s">
        <v>418</v>
      </c>
      <c r="D14" s="8">
        <v>46065</v>
      </c>
      <c r="E14" s="8">
        <v>46072</v>
      </c>
      <c r="F14" s="8">
        <v>46090</v>
      </c>
      <c r="G14" t="s">
        <v>580</v>
      </c>
      <c r="H14" s="6">
        <v>3751</v>
      </c>
      <c r="I14" s="6">
        <v>2765</v>
      </c>
      <c r="J14" s="6">
        <v>2696</v>
      </c>
      <c r="K14" t="s">
        <v>581</v>
      </c>
      <c r="L14">
        <v>18</v>
      </c>
    </row>
    <row r="15" spans="1:13" x14ac:dyDescent="0.35">
      <c r="A15" t="s">
        <v>613</v>
      </c>
      <c r="B15" t="s">
        <v>614</v>
      </c>
      <c r="C15" t="s">
        <v>227</v>
      </c>
      <c r="D15" s="8">
        <v>46131</v>
      </c>
      <c r="E15" s="8">
        <v>46139</v>
      </c>
      <c r="F15" s="8">
        <v>46163</v>
      </c>
      <c r="G15" t="s">
        <v>593</v>
      </c>
      <c r="H15" s="6">
        <v>13554</v>
      </c>
      <c r="I15" s="6">
        <v>9777</v>
      </c>
      <c r="J15" s="6">
        <v>9691</v>
      </c>
      <c r="K15" t="s">
        <v>581</v>
      </c>
      <c r="L15">
        <v>24</v>
      </c>
    </row>
    <row r="16" spans="1:13" x14ac:dyDescent="0.35">
      <c r="A16" t="s">
        <v>615</v>
      </c>
      <c r="B16" t="s">
        <v>616</v>
      </c>
      <c r="C16" t="s">
        <v>224</v>
      </c>
      <c r="D16" s="8">
        <v>46035</v>
      </c>
      <c r="E16" s="8">
        <v>46050</v>
      </c>
      <c r="F16" s="8">
        <v>46058</v>
      </c>
      <c r="G16" t="s">
        <v>596</v>
      </c>
      <c r="H16" s="6">
        <v>13687</v>
      </c>
      <c r="I16" s="6">
        <v>10392</v>
      </c>
      <c r="J16" s="6">
        <v>10329</v>
      </c>
      <c r="K16" t="s">
        <v>581</v>
      </c>
      <c r="L16">
        <v>8</v>
      </c>
    </row>
    <row r="17" spans="1:12" x14ac:dyDescent="0.35">
      <c r="A17" t="s">
        <v>617</v>
      </c>
      <c r="B17" t="s">
        <v>618</v>
      </c>
      <c r="C17" t="s">
        <v>198</v>
      </c>
      <c r="D17" s="8">
        <v>46146</v>
      </c>
      <c r="E17" s="8">
        <v>46154</v>
      </c>
      <c r="F17" s="8">
        <v>46159</v>
      </c>
      <c r="G17" t="s">
        <v>593</v>
      </c>
      <c r="H17" s="6">
        <v>1591</v>
      </c>
      <c r="I17" s="6">
        <v>1052</v>
      </c>
      <c r="J17" s="6">
        <v>1046</v>
      </c>
      <c r="K17" t="s">
        <v>581</v>
      </c>
      <c r="L17">
        <v>5</v>
      </c>
    </row>
    <row r="18" spans="1:12" x14ac:dyDescent="0.35">
      <c r="A18" t="s">
        <v>619</v>
      </c>
      <c r="B18" t="s">
        <v>620</v>
      </c>
      <c r="C18" t="s">
        <v>375</v>
      </c>
      <c r="D18" s="8">
        <v>46079</v>
      </c>
      <c r="E18" s="8">
        <v>46085</v>
      </c>
      <c r="F18" s="8">
        <v>46105</v>
      </c>
      <c r="G18" t="s">
        <v>580</v>
      </c>
      <c r="H18" s="6">
        <v>17820</v>
      </c>
      <c r="I18" s="6">
        <v>12923</v>
      </c>
      <c r="J18" s="6">
        <v>12324</v>
      </c>
      <c r="K18" t="s">
        <v>581</v>
      </c>
      <c r="L18">
        <v>20</v>
      </c>
    </row>
    <row r="19" spans="1:12" x14ac:dyDescent="0.35">
      <c r="A19" t="s">
        <v>621</v>
      </c>
      <c r="B19" t="s">
        <v>622</v>
      </c>
      <c r="C19" t="s">
        <v>307</v>
      </c>
      <c r="D19" s="8">
        <v>46157</v>
      </c>
      <c r="E19" s="8">
        <v>46171</v>
      </c>
      <c r="F19" s="8">
        <v>46195</v>
      </c>
      <c r="G19" t="s">
        <v>593</v>
      </c>
      <c r="H19" s="6">
        <v>15501</v>
      </c>
      <c r="I19" s="6">
        <v>7792</v>
      </c>
      <c r="J19" s="6">
        <v>7433</v>
      </c>
      <c r="K19" t="s">
        <v>581</v>
      </c>
      <c r="L19">
        <v>24</v>
      </c>
    </row>
    <row r="20" spans="1:12" x14ac:dyDescent="0.35">
      <c r="A20" t="s">
        <v>623</v>
      </c>
      <c r="B20" t="s">
        <v>624</v>
      </c>
      <c r="C20" t="s">
        <v>69</v>
      </c>
      <c r="D20" s="8">
        <v>46075</v>
      </c>
      <c r="E20" s="8">
        <v>46089</v>
      </c>
      <c r="F20" s="8">
        <v>46111</v>
      </c>
      <c r="G20" t="s">
        <v>584</v>
      </c>
      <c r="H20" s="6">
        <v>8239</v>
      </c>
      <c r="I20" s="6">
        <v>6173</v>
      </c>
      <c r="J20" s="6">
        <v>5905</v>
      </c>
      <c r="K20" t="s">
        <v>581</v>
      </c>
      <c r="L20">
        <v>22</v>
      </c>
    </row>
    <row r="21" spans="1:12" x14ac:dyDescent="0.35">
      <c r="A21" t="s">
        <v>625</v>
      </c>
      <c r="B21" t="s">
        <v>626</v>
      </c>
      <c r="C21" t="s">
        <v>142</v>
      </c>
      <c r="D21" s="8">
        <v>46093</v>
      </c>
      <c r="E21" s="8">
        <v>46096</v>
      </c>
      <c r="F21" s="8">
        <v>46113</v>
      </c>
      <c r="G21" t="s">
        <v>580</v>
      </c>
      <c r="H21" s="6">
        <v>13627</v>
      </c>
      <c r="I21" s="6">
        <v>7674</v>
      </c>
      <c r="J21" s="6">
        <v>7622</v>
      </c>
      <c r="K21" t="s">
        <v>581</v>
      </c>
      <c r="L21">
        <v>17</v>
      </c>
    </row>
    <row r="22" spans="1:12" x14ac:dyDescent="0.35">
      <c r="A22" t="s">
        <v>627</v>
      </c>
      <c r="B22" t="s">
        <v>628</v>
      </c>
      <c r="C22" t="s">
        <v>388</v>
      </c>
      <c r="D22" s="8">
        <v>46103</v>
      </c>
      <c r="E22" s="8">
        <v>46112</v>
      </c>
      <c r="F22" s="8">
        <v>46133</v>
      </c>
      <c r="G22" t="s">
        <v>584</v>
      </c>
      <c r="H22" s="6">
        <v>16468</v>
      </c>
      <c r="I22" s="6">
        <v>10006</v>
      </c>
      <c r="J22" s="6">
        <v>9665</v>
      </c>
      <c r="K22" t="s">
        <v>581</v>
      </c>
      <c r="L22">
        <v>21</v>
      </c>
    </row>
    <row r="23" spans="1:12" x14ac:dyDescent="0.35">
      <c r="A23" t="s">
        <v>629</v>
      </c>
      <c r="B23" t="s">
        <v>630</v>
      </c>
      <c r="C23" t="s">
        <v>316</v>
      </c>
      <c r="D23" s="8">
        <v>46040</v>
      </c>
      <c r="E23" s="8">
        <v>46057</v>
      </c>
      <c r="F23" s="8">
        <v>46074</v>
      </c>
      <c r="G23" t="s">
        <v>593</v>
      </c>
      <c r="H23" s="6">
        <v>8818</v>
      </c>
      <c r="I23" s="6">
        <v>6918</v>
      </c>
      <c r="J23" s="6">
        <v>6588</v>
      </c>
      <c r="K23" t="s">
        <v>581</v>
      </c>
      <c r="L23">
        <v>17</v>
      </c>
    </row>
    <row r="24" spans="1:12" x14ac:dyDescent="0.35">
      <c r="A24" t="s">
        <v>631</v>
      </c>
      <c r="B24" t="s">
        <v>632</v>
      </c>
      <c r="C24" t="s">
        <v>496</v>
      </c>
      <c r="D24" s="8">
        <v>46040</v>
      </c>
      <c r="E24" s="8">
        <v>46056</v>
      </c>
      <c r="F24" s="8">
        <v>46062</v>
      </c>
      <c r="G24" t="s">
        <v>593</v>
      </c>
      <c r="H24" s="6">
        <v>1467</v>
      </c>
      <c r="I24" s="6">
        <v>1124</v>
      </c>
      <c r="J24" s="6">
        <v>1109</v>
      </c>
      <c r="K24" t="s">
        <v>581</v>
      </c>
      <c r="L24">
        <v>6</v>
      </c>
    </row>
    <row r="25" spans="1:12" x14ac:dyDescent="0.35">
      <c r="A25" t="s">
        <v>633</v>
      </c>
      <c r="B25" t="s">
        <v>634</v>
      </c>
      <c r="C25" t="s">
        <v>165</v>
      </c>
      <c r="D25" s="8">
        <v>46073</v>
      </c>
      <c r="E25" s="8">
        <v>46081</v>
      </c>
      <c r="G25" t="s">
        <v>584</v>
      </c>
      <c r="H25" s="6">
        <v>666</v>
      </c>
      <c r="I25" s="6">
        <v>442</v>
      </c>
      <c r="J25" s="6">
        <v>0</v>
      </c>
      <c r="K25" t="s">
        <v>585</v>
      </c>
      <c r="L25">
        <v>89</v>
      </c>
    </row>
    <row r="26" spans="1:12" x14ac:dyDescent="0.35">
      <c r="A26" t="s">
        <v>635</v>
      </c>
      <c r="B26" t="s">
        <v>636</v>
      </c>
      <c r="C26" t="s">
        <v>322</v>
      </c>
      <c r="D26" s="8">
        <v>46111</v>
      </c>
      <c r="E26" s="8">
        <v>46118</v>
      </c>
      <c r="F26" s="8">
        <v>46139</v>
      </c>
      <c r="G26" t="s">
        <v>596</v>
      </c>
      <c r="H26" s="6">
        <v>2287</v>
      </c>
      <c r="I26" s="6">
        <v>1289</v>
      </c>
      <c r="J26" s="6">
        <v>1278</v>
      </c>
      <c r="K26" t="s">
        <v>581</v>
      </c>
      <c r="L26">
        <v>21</v>
      </c>
    </row>
    <row r="27" spans="1:12" x14ac:dyDescent="0.35">
      <c r="A27" t="s">
        <v>637</v>
      </c>
      <c r="B27" t="s">
        <v>638</v>
      </c>
      <c r="C27" t="s">
        <v>490</v>
      </c>
      <c r="D27" s="8">
        <v>46105</v>
      </c>
      <c r="E27" s="8">
        <v>46116</v>
      </c>
      <c r="F27" s="8">
        <v>46122</v>
      </c>
      <c r="G27" t="s">
        <v>588</v>
      </c>
      <c r="H27" s="6">
        <v>8290</v>
      </c>
      <c r="I27" s="6">
        <v>5669</v>
      </c>
      <c r="J27" s="6">
        <v>5659</v>
      </c>
      <c r="K27" t="s">
        <v>581</v>
      </c>
      <c r="L27">
        <v>6</v>
      </c>
    </row>
    <row r="28" spans="1:12" x14ac:dyDescent="0.35">
      <c r="A28" t="s">
        <v>639</v>
      </c>
      <c r="B28" t="s">
        <v>640</v>
      </c>
      <c r="C28" t="s">
        <v>165</v>
      </c>
      <c r="D28" s="8">
        <v>46117</v>
      </c>
      <c r="E28" s="8">
        <v>46121</v>
      </c>
      <c r="F28" s="8">
        <v>46128</v>
      </c>
      <c r="G28" t="s">
        <v>588</v>
      </c>
      <c r="H28" s="6">
        <v>11209</v>
      </c>
      <c r="I28" s="6">
        <v>7943</v>
      </c>
      <c r="J28" s="6">
        <v>7826</v>
      </c>
      <c r="K28" t="s">
        <v>581</v>
      </c>
      <c r="L28">
        <v>7</v>
      </c>
    </row>
    <row r="29" spans="1:12" x14ac:dyDescent="0.35">
      <c r="A29" t="s">
        <v>641</v>
      </c>
      <c r="B29" t="s">
        <v>642</v>
      </c>
      <c r="C29" t="s">
        <v>319</v>
      </c>
      <c r="D29" s="8">
        <v>46043</v>
      </c>
      <c r="E29" s="8">
        <v>46056</v>
      </c>
      <c r="F29" s="8">
        <v>46075</v>
      </c>
      <c r="G29" t="s">
        <v>593</v>
      </c>
      <c r="H29" s="6">
        <v>17973</v>
      </c>
      <c r="I29" s="6">
        <v>13049</v>
      </c>
      <c r="J29" s="6">
        <v>12449</v>
      </c>
      <c r="K29" t="s">
        <v>581</v>
      </c>
      <c r="L29">
        <v>19</v>
      </c>
    </row>
    <row r="30" spans="1:12" x14ac:dyDescent="0.35">
      <c r="A30" t="s">
        <v>643</v>
      </c>
      <c r="B30" t="s">
        <v>644</v>
      </c>
      <c r="C30" t="s">
        <v>257</v>
      </c>
      <c r="D30" s="8">
        <v>46116</v>
      </c>
      <c r="E30" s="8">
        <v>46129</v>
      </c>
      <c r="F30" s="8">
        <v>46135</v>
      </c>
      <c r="G30" t="s">
        <v>588</v>
      </c>
      <c r="H30" s="6">
        <v>17026</v>
      </c>
      <c r="I30" s="6">
        <v>13776</v>
      </c>
      <c r="J30" s="6">
        <v>13286</v>
      </c>
      <c r="K30" t="s">
        <v>581</v>
      </c>
      <c r="L30">
        <v>6</v>
      </c>
    </row>
    <row r="31" spans="1:12" x14ac:dyDescent="0.35">
      <c r="A31" t="s">
        <v>645</v>
      </c>
      <c r="B31" t="s">
        <v>646</v>
      </c>
      <c r="C31" t="s">
        <v>149</v>
      </c>
      <c r="D31" s="8">
        <v>46034</v>
      </c>
      <c r="E31" s="8">
        <v>46047</v>
      </c>
      <c r="F31" s="8">
        <v>46064</v>
      </c>
      <c r="G31" t="s">
        <v>580</v>
      </c>
      <c r="H31" s="6">
        <v>8702</v>
      </c>
      <c r="I31" s="6">
        <v>5272</v>
      </c>
      <c r="J31" s="6">
        <v>5262</v>
      </c>
      <c r="K31" t="s">
        <v>581</v>
      </c>
      <c r="L31">
        <v>17</v>
      </c>
    </row>
    <row r="32" spans="1:12" x14ac:dyDescent="0.35">
      <c r="A32" t="s">
        <v>647</v>
      </c>
      <c r="B32" t="s">
        <v>648</v>
      </c>
      <c r="C32" t="s">
        <v>307</v>
      </c>
      <c r="D32" s="8">
        <v>46032</v>
      </c>
      <c r="E32" s="8">
        <v>46036</v>
      </c>
      <c r="F32" s="8">
        <v>46053</v>
      </c>
      <c r="G32" t="s">
        <v>580</v>
      </c>
      <c r="H32" s="6">
        <v>1670</v>
      </c>
      <c r="I32" s="6">
        <v>1408</v>
      </c>
      <c r="J32" s="6">
        <v>1387</v>
      </c>
      <c r="K32" t="s">
        <v>581</v>
      </c>
      <c r="L32">
        <v>17</v>
      </c>
    </row>
    <row r="33" spans="1:13" x14ac:dyDescent="0.35">
      <c r="A33" t="s">
        <v>649</v>
      </c>
      <c r="B33" t="s">
        <v>650</v>
      </c>
      <c r="C33" t="s">
        <v>275</v>
      </c>
      <c r="D33" s="8">
        <v>46055</v>
      </c>
      <c r="E33" s="8">
        <v>46070</v>
      </c>
      <c r="F33" s="8">
        <v>46090</v>
      </c>
      <c r="G33" t="s">
        <v>580</v>
      </c>
      <c r="H33" s="6">
        <v>9180</v>
      </c>
      <c r="I33" s="6">
        <v>6538</v>
      </c>
      <c r="J33" s="6">
        <v>6440</v>
      </c>
      <c r="K33" t="s">
        <v>581</v>
      </c>
      <c r="L33">
        <v>20</v>
      </c>
    </row>
    <row r="34" spans="1:13" x14ac:dyDescent="0.35">
      <c r="A34" t="s">
        <v>651</v>
      </c>
      <c r="B34" t="s">
        <v>652</v>
      </c>
      <c r="C34" t="s">
        <v>331</v>
      </c>
      <c r="D34" s="8">
        <v>46111</v>
      </c>
      <c r="E34" s="8">
        <v>46119</v>
      </c>
      <c r="F34" s="8">
        <v>46133</v>
      </c>
      <c r="G34" t="s">
        <v>580</v>
      </c>
      <c r="H34" s="6">
        <v>8572</v>
      </c>
      <c r="I34" s="6">
        <v>5526</v>
      </c>
      <c r="J34" s="6">
        <v>0</v>
      </c>
      <c r="K34" t="s">
        <v>653</v>
      </c>
      <c r="L34">
        <v>14</v>
      </c>
      <c r="M34" t="s">
        <v>654</v>
      </c>
    </row>
    <row r="35" spans="1:13" x14ac:dyDescent="0.35">
      <c r="A35" t="s">
        <v>655</v>
      </c>
      <c r="B35" t="s">
        <v>656</v>
      </c>
      <c r="C35" t="s">
        <v>375</v>
      </c>
      <c r="D35" s="8">
        <v>46081</v>
      </c>
      <c r="E35" s="8">
        <v>46096</v>
      </c>
      <c r="F35" s="8">
        <v>46103</v>
      </c>
      <c r="G35" t="s">
        <v>588</v>
      </c>
      <c r="H35" s="6">
        <v>6288</v>
      </c>
      <c r="I35" s="6">
        <v>4606</v>
      </c>
      <c r="J35" s="6">
        <v>4533</v>
      </c>
      <c r="K35" t="s">
        <v>581</v>
      </c>
      <c r="L35">
        <v>7</v>
      </c>
    </row>
    <row r="36" spans="1:13" x14ac:dyDescent="0.35">
      <c r="A36" t="s">
        <v>657</v>
      </c>
      <c r="B36" t="s">
        <v>658</v>
      </c>
      <c r="C36" t="s">
        <v>90</v>
      </c>
      <c r="D36" s="8">
        <v>46153</v>
      </c>
      <c r="E36" s="8">
        <v>46165</v>
      </c>
      <c r="F36" s="8">
        <v>46204</v>
      </c>
      <c r="G36" t="s">
        <v>596</v>
      </c>
      <c r="H36" s="6">
        <v>4357</v>
      </c>
      <c r="I36" s="6">
        <v>2253</v>
      </c>
      <c r="J36" s="6">
        <v>968</v>
      </c>
      <c r="K36" t="s">
        <v>607</v>
      </c>
      <c r="L36">
        <v>5</v>
      </c>
      <c r="M36" t="s">
        <v>608</v>
      </c>
    </row>
    <row r="37" spans="1:13" x14ac:dyDescent="0.35">
      <c r="A37" t="s">
        <v>659</v>
      </c>
      <c r="B37" t="s">
        <v>660</v>
      </c>
      <c r="C37" t="s">
        <v>65</v>
      </c>
      <c r="D37" s="8">
        <v>46038</v>
      </c>
      <c r="E37" s="8">
        <v>46055</v>
      </c>
      <c r="F37" s="8">
        <v>46077</v>
      </c>
      <c r="G37" t="s">
        <v>588</v>
      </c>
      <c r="H37" s="6">
        <v>4921</v>
      </c>
      <c r="I37" s="6">
        <v>3859</v>
      </c>
      <c r="J37" s="6">
        <v>3679</v>
      </c>
      <c r="K37" t="s">
        <v>581</v>
      </c>
      <c r="L37">
        <v>22</v>
      </c>
    </row>
    <row r="38" spans="1:13" x14ac:dyDescent="0.35">
      <c r="A38" t="s">
        <v>661</v>
      </c>
      <c r="B38" t="s">
        <v>662</v>
      </c>
      <c r="C38" t="s">
        <v>180</v>
      </c>
      <c r="D38" s="8">
        <v>46071</v>
      </c>
      <c r="E38" s="8">
        <v>46089</v>
      </c>
      <c r="F38" s="8">
        <v>46098</v>
      </c>
      <c r="G38" t="s">
        <v>584</v>
      </c>
      <c r="H38" s="6">
        <v>1273</v>
      </c>
      <c r="I38" s="6">
        <v>845</v>
      </c>
      <c r="J38" s="6">
        <v>804</v>
      </c>
      <c r="K38" t="s">
        <v>581</v>
      </c>
      <c r="L38">
        <v>9</v>
      </c>
    </row>
    <row r="39" spans="1:13" x14ac:dyDescent="0.35">
      <c r="A39" t="s">
        <v>663</v>
      </c>
      <c r="B39" t="s">
        <v>664</v>
      </c>
      <c r="C39" t="s">
        <v>284</v>
      </c>
      <c r="D39" s="8">
        <v>46151</v>
      </c>
      <c r="E39" s="8">
        <v>46165</v>
      </c>
      <c r="F39" s="8">
        <v>46187</v>
      </c>
      <c r="G39" t="s">
        <v>596</v>
      </c>
      <c r="H39" s="6">
        <v>9517</v>
      </c>
      <c r="I39" s="6">
        <v>4753</v>
      </c>
      <c r="J39" s="6">
        <v>4557</v>
      </c>
      <c r="K39" t="s">
        <v>581</v>
      </c>
      <c r="L39">
        <v>22</v>
      </c>
    </row>
    <row r="40" spans="1:13" x14ac:dyDescent="0.35">
      <c r="A40" t="s">
        <v>665</v>
      </c>
      <c r="B40" t="s">
        <v>666</v>
      </c>
      <c r="C40" t="s">
        <v>190</v>
      </c>
      <c r="D40" s="8">
        <v>46132</v>
      </c>
      <c r="E40" s="8">
        <v>46143</v>
      </c>
      <c r="F40" s="8">
        <v>46153</v>
      </c>
      <c r="G40" t="s">
        <v>584</v>
      </c>
      <c r="H40" s="6">
        <v>2574</v>
      </c>
      <c r="I40" s="6">
        <v>1558</v>
      </c>
      <c r="J40" s="6">
        <v>1537</v>
      </c>
      <c r="K40" t="s">
        <v>581</v>
      </c>
      <c r="L40">
        <v>10</v>
      </c>
    </row>
    <row r="41" spans="1:13" x14ac:dyDescent="0.35">
      <c r="A41" t="s">
        <v>667</v>
      </c>
      <c r="B41" t="s">
        <v>668</v>
      </c>
      <c r="C41" t="s">
        <v>513</v>
      </c>
      <c r="D41" s="8">
        <v>46085</v>
      </c>
      <c r="E41" s="8">
        <v>46091</v>
      </c>
      <c r="G41" t="s">
        <v>580</v>
      </c>
      <c r="H41" s="6">
        <v>11421</v>
      </c>
      <c r="I41" s="6">
        <v>7359</v>
      </c>
      <c r="J41" s="6">
        <v>0</v>
      </c>
      <c r="K41" t="s">
        <v>585</v>
      </c>
      <c r="L41">
        <v>79</v>
      </c>
    </row>
    <row r="42" spans="1:13" x14ac:dyDescent="0.35">
      <c r="A42" t="s">
        <v>669</v>
      </c>
      <c r="B42" t="s">
        <v>670</v>
      </c>
      <c r="C42" t="s">
        <v>310</v>
      </c>
      <c r="D42" s="8">
        <v>46051</v>
      </c>
      <c r="E42" s="8">
        <v>46054</v>
      </c>
      <c r="G42" t="s">
        <v>588</v>
      </c>
      <c r="H42" s="6">
        <v>15310</v>
      </c>
      <c r="I42" s="6">
        <v>8294</v>
      </c>
      <c r="J42" s="6">
        <v>0</v>
      </c>
      <c r="K42" t="s">
        <v>671</v>
      </c>
      <c r="L42">
        <v>116</v>
      </c>
      <c r="M42" t="s">
        <v>672</v>
      </c>
    </row>
    <row r="43" spans="1:13" x14ac:dyDescent="0.35">
      <c r="A43" t="s">
        <v>673</v>
      </c>
      <c r="B43" t="s">
        <v>674</v>
      </c>
      <c r="C43" t="s">
        <v>193</v>
      </c>
      <c r="D43" s="8">
        <v>46012</v>
      </c>
      <c r="E43" s="8">
        <v>46019</v>
      </c>
      <c r="G43" t="s">
        <v>580</v>
      </c>
      <c r="H43" s="6">
        <v>15994</v>
      </c>
      <c r="I43" s="6">
        <v>13211</v>
      </c>
      <c r="J43" s="6">
        <v>0</v>
      </c>
      <c r="K43" t="s">
        <v>671</v>
      </c>
      <c r="L43">
        <v>151</v>
      </c>
      <c r="M43" t="s">
        <v>675</v>
      </c>
    </row>
    <row r="44" spans="1:13" x14ac:dyDescent="0.35">
      <c r="A44" t="s">
        <v>676</v>
      </c>
      <c r="B44" t="s">
        <v>677</v>
      </c>
      <c r="C44" t="s">
        <v>171</v>
      </c>
      <c r="D44" s="8">
        <v>46069</v>
      </c>
      <c r="E44" s="8">
        <v>46079</v>
      </c>
      <c r="F44" s="8">
        <v>46092</v>
      </c>
      <c r="G44" t="s">
        <v>596</v>
      </c>
      <c r="H44" s="6">
        <v>7046</v>
      </c>
      <c r="I44" s="6">
        <v>4667</v>
      </c>
      <c r="J44" s="6">
        <v>4590</v>
      </c>
      <c r="K44" t="s">
        <v>581</v>
      </c>
      <c r="L44">
        <v>13</v>
      </c>
    </row>
    <row r="45" spans="1:13" x14ac:dyDescent="0.35">
      <c r="A45" t="s">
        <v>678</v>
      </c>
      <c r="B45" t="s">
        <v>679</v>
      </c>
      <c r="C45" t="s">
        <v>42</v>
      </c>
      <c r="D45" s="8">
        <v>46069</v>
      </c>
      <c r="E45" s="8">
        <v>46079</v>
      </c>
      <c r="G45" t="s">
        <v>584</v>
      </c>
      <c r="H45" s="6">
        <v>7113</v>
      </c>
      <c r="I45" s="6">
        <v>5946</v>
      </c>
      <c r="J45" s="6">
        <v>0</v>
      </c>
      <c r="K45" t="s">
        <v>585</v>
      </c>
      <c r="L45">
        <v>91</v>
      </c>
    </row>
    <row r="46" spans="1:13" x14ac:dyDescent="0.35">
      <c r="A46" t="s">
        <v>680</v>
      </c>
      <c r="B46" t="s">
        <v>681</v>
      </c>
      <c r="C46" t="s">
        <v>186</v>
      </c>
      <c r="D46" s="8">
        <v>46088</v>
      </c>
      <c r="E46" s="8">
        <v>46095</v>
      </c>
      <c r="F46" s="8">
        <v>46105</v>
      </c>
      <c r="G46" t="s">
        <v>588</v>
      </c>
      <c r="H46" s="6">
        <v>6821</v>
      </c>
      <c r="I46" s="6">
        <v>4747</v>
      </c>
      <c r="J46" s="6">
        <v>4627</v>
      </c>
      <c r="K46" t="s">
        <v>581</v>
      </c>
      <c r="L46">
        <v>10</v>
      </c>
    </row>
    <row r="47" spans="1:13" x14ac:dyDescent="0.35">
      <c r="A47" t="s">
        <v>682</v>
      </c>
      <c r="B47" t="s">
        <v>683</v>
      </c>
      <c r="C47" t="s">
        <v>129</v>
      </c>
      <c r="D47" s="8">
        <v>46033</v>
      </c>
      <c r="E47" s="8">
        <v>46037</v>
      </c>
      <c r="F47" s="8">
        <v>46047</v>
      </c>
      <c r="G47" t="s">
        <v>596</v>
      </c>
      <c r="H47" s="6">
        <v>16276</v>
      </c>
      <c r="I47" s="6">
        <v>8430</v>
      </c>
      <c r="J47" s="6">
        <v>8234</v>
      </c>
      <c r="K47" t="s">
        <v>581</v>
      </c>
      <c r="L47">
        <v>10</v>
      </c>
    </row>
    <row r="48" spans="1:13" x14ac:dyDescent="0.35">
      <c r="A48" t="s">
        <v>684</v>
      </c>
      <c r="B48" t="s">
        <v>685</v>
      </c>
      <c r="C48" t="s">
        <v>506</v>
      </c>
      <c r="D48" s="8">
        <v>46053</v>
      </c>
      <c r="E48" s="8">
        <v>46070</v>
      </c>
      <c r="F48" s="8">
        <v>46092</v>
      </c>
      <c r="G48" t="s">
        <v>596</v>
      </c>
      <c r="H48" s="6">
        <v>4798</v>
      </c>
      <c r="I48" s="6">
        <v>3295</v>
      </c>
      <c r="J48" s="6">
        <v>3159</v>
      </c>
      <c r="K48" t="s">
        <v>581</v>
      </c>
      <c r="L48">
        <v>22</v>
      </c>
    </row>
    <row r="49" spans="1:13" x14ac:dyDescent="0.35">
      <c r="A49" t="s">
        <v>686</v>
      </c>
      <c r="B49" t="s">
        <v>687</v>
      </c>
      <c r="C49" t="s">
        <v>443</v>
      </c>
      <c r="D49" s="8">
        <v>46082</v>
      </c>
      <c r="E49" s="8">
        <v>46085</v>
      </c>
      <c r="G49" t="s">
        <v>584</v>
      </c>
      <c r="H49" s="6">
        <v>12679</v>
      </c>
      <c r="I49" s="6">
        <v>5843</v>
      </c>
      <c r="J49" s="6">
        <v>0</v>
      </c>
      <c r="K49" t="s">
        <v>585</v>
      </c>
      <c r="L49">
        <v>85</v>
      </c>
    </row>
    <row r="50" spans="1:13" x14ac:dyDescent="0.35">
      <c r="A50" t="s">
        <v>688</v>
      </c>
      <c r="B50" t="s">
        <v>689</v>
      </c>
      <c r="C50" t="s">
        <v>394</v>
      </c>
      <c r="D50" s="8">
        <v>46085</v>
      </c>
      <c r="E50" s="8">
        <v>46090</v>
      </c>
      <c r="F50" s="8">
        <v>46110</v>
      </c>
      <c r="G50" t="s">
        <v>596</v>
      </c>
      <c r="H50" s="6">
        <v>1742</v>
      </c>
      <c r="I50" s="6">
        <v>789</v>
      </c>
      <c r="J50" s="6">
        <v>777</v>
      </c>
      <c r="K50" t="s">
        <v>581</v>
      </c>
      <c r="L50">
        <v>20</v>
      </c>
    </row>
    <row r="51" spans="1:13" x14ac:dyDescent="0.35">
      <c r="A51" t="s">
        <v>690</v>
      </c>
      <c r="B51" t="s">
        <v>691</v>
      </c>
      <c r="C51" t="s">
        <v>42</v>
      </c>
      <c r="D51" s="8">
        <v>46129</v>
      </c>
      <c r="E51" s="8">
        <v>46132</v>
      </c>
      <c r="F51" s="8">
        <v>46149</v>
      </c>
      <c r="G51" t="s">
        <v>580</v>
      </c>
      <c r="H51" s="6">
        <v>12979</v>
      </c>
      <c r="I51" s="6">
        <v>10692</v>
      </c>
      <c r="J51" s="6">
        <v>10524</v>
      </c>
      <c r="K51" t="s">
        <v>581</v>
      </c>
      <c r="L51">
        <v>17</v>
      </c>
    </row>
    <row r="52" spans="1:13" x14ac:dyDescent="0.35">
      <c r="A52" t="s">
        <v>692</v>
      </c>
      <c r="B52" t="s">
        <v>693</v>
      </c>
      <c r="C52" t="s">
        <v>83</v>
      </c>
      <c r="D52" s="8">
        <v>46141</v>
      </c>
      <c r="E52" s="8">
        <v>46149</v>
      </c>
      <c r="F52" s="8">
        <v>46171</v>
      </c>
      <c r="G52" t="s">
        <v>580</v>
      </c>
      <c r="H52" s="6">
        <v>2754</v>
      </c>
      <c r="I52" s="6">
        <v>1467</v>
      </c>
      <c r="J52" s="6">
        <v>0</v>
      </c>
      <c r="K52" t="s">
        <v>653</v>
      </c>
      <c r="L52">
        <v>22</v>
      </c>
      <c r="M52" t="s">
        <v>694</v>
      </c>
    </row>
    <row r="53" spans="1:13" x14ac:dyDescent="0.35">
      <c r="A53" t="s">
        <v>695</v>
      </c>
      <c r="B53" t="s">
        <v>696</v>
      </c>
      <c r="C53" t="s">
        <v>325</v>
      </c>
      <c r="D53" s="8">
        <v>46028</v>
      </c>
      <c r="E53" s="8">
        <v>46039</v>
      </c>
      <c r="F53" s="8">
        <v>46049</v>
      </c>
      <c r="G53" t="s">
        <v>596</v>
      </c>
      <c r="H53" s="6">
        <v>17577</v>
      </c>
      <c r="I53" s="6">
        <v>13842</v>
      </c>
      <c r="J53" s="6">
        <v>13841</v>
      </c>
      <c r="K53" t="s">
        <v>581</v>
      </c>
      <c r="L53">
        <v>10</v>
      </c>
    </row>
    <row r="54" spans="1:13" x14ac:dyDescent="0.35">
      <c r="A54" t="s">
        <v>697</v>
      </c>
      <c r="B54" t="s">
        <v>698</v>
      </c>
      <c r="C54" t="s">
        <v>278</v>
      </c>
      <c r="D54" s="8">
        <v>46066</v>
      </c>
      <c r="E54" s="8">
        <v>46079</v>
      </c>
      <c r="F54" s="8">
        <v>46091</v>
      </c>
      <c r="G54" t="s">
        <v>580</v>
      </c>
      <c r="H54" s="6">
        <v>14703</v>
      </c>
      <c r="I54" s="6">
        <v>9846</v>
      </c>
      <c r="J54" s="6">
        <v>9541</v>
      </c>
      <c r="K54" t="s">
        <v>581</v>
      </c>
      <c r="L54">
        <v>12</v>
      </c>
    </row>
    <row r="55" spans="1:13" x14ac:dyDescent="0.35">
      <c r="A55" t="s">
        <v>699</v>
      </c>
      <c r="B55" t="s">
        <v>700</v>
      </c>
      <c r="C55" t="s">
        <v>190</v>
      </c>
      <c r="D55" s="8">
        <v>46055</v>
      </c>
      <c r="E55" s="8">
        <v>46070</v>
      </c>
      <c r="G55" t="s">
        <v>580</v>
      </c>
      <c r="H55" s="6">
        <v>10063</v>
      </c>
      <c r="I55" s="6">
        <v>7931</v>
      </c>
      <c r="J55" s="6">
        <v>0</v>
      </c>
      <c r="K55" t="s">
        <v>585</v>
      </c>
      <c r="L55">
        <v>100</v>
      </c>
    </row>
    <row r="56" spans="1:13" x14ac:dyDescent="0.35">
      <c r="A56" t="s">
        <v>701</v>
      </c>
      <c r="B56" t="s">
        <v>702</v>
      </c>
      <c r="C56" t="s">
        <v>42</v>
      </c>
      <c r="D56" s="8">
        <v>46103</v>
      </c>
      <c r="E56" s="8">
        <v>46119</v>
      </c>
      <c r="F56" s="8">
        <v>46125</v>
      </c>
      <c r="G56" t="s">
        <v>584</v>
      </c>
      <c r="H56" s="6">
        <v>7328</v>
      </c>
      <c r="I56" s="6">
        <v>5758</v>
      </c>
      <c r="J56" s="6">
        <v>5627</v>
      </c>
      <c r="K56" t="s">
        <v>581</v>
      </c>
      <c r="L56">
        <v>6</v>
      </c>
    </row>
    <row r="57" spans="1:13" x14ac:dyDescent="0.35">
      <c r="A57" t="s">
        <v>703</v>
      </c>
      <c r="B57" t="s">
        <v>704</v>
      </c>
      <c r="C57" t="s">
        <v>506</v>
      </c>
      <c r="D57" s="8">
        <v>46138</v>
      </c>
      <c r="E57" s="8">
        <v>46150</v>
      </c>
      <c r="F57" s="8">
        <v>46175</v>
      </c>
      <c r="G57" t="s">
        <v>593</v>
      </c>
      <c r="H57" s="6">
        <v>4408</v>
      </c>
      <c r="I57" s="6">
        <v>3483</v>
      </c>
      <c r="J57" s="6">
        <v>3367</v>
      </c>
      <c r="K57" t="s">
        <v>581</v>
      </c>
      <c r="L57">
        <v>25</v>
      </c>
    </row>
    <row r="58" spans="1:13" x14ac:dyDescent="0.35">
      <c r="A58" t="s">
        <v>705</v>
      </c>
      <c r="B58" t="s">
        <v>706</v>
      </c>
      <c r="C58" t="s">
        <v>249</v>
      </c>
      <c r="D58" s="8">
        <v>46116</v>
      </c>
      <c r="E58" s="8">
        <v>46119</v>
      </c>
      <c r="G58" t="s">
        <v>596</v>
      </c>
      <c r="H58" s="6">
        <v>2484</v>
      </c>
      <c r="I58" s="6">
        <v>1962</v>
      </c>
      <c r="J58" s="6">
        <v>0</v>
      </c>
      <c r="K58" t="s">
        <v>585</v>
      </c>
      <c r="L58">
        <v>51</v>
      </c>
    </row>
    <row r="59" spans="1:13" x14ac:dyDescent="0.35">
      <c r="A59" t="s">
        <v>707</v>
      </c>
      <c r="B59" t="s">
        <v>708</v>
      </c>
      <c r="C59" t="s">
        <v>342</v>
      </c>
      <c r="D59" s="8">
        <v>46081</v>
      </c>
      <c r="E59" s="8">
        <v>46090</v>
      </c>
      <c r="F59" s="8">
        <v>46111</v>
      </c>
      <c r="G59" t="s">
        <v>596</v>
      </c>
      <c r="H59" s="6">
        <v>4537</v>
      </c>
      <c r="I59" s="6">
        <v>2243</v>
      </c>
      <c r="J59" s="6">
        <v>2135</v>
      </c>
      <c r="K59" t="s">
        <v>581</v>
      </c>
      <c r="L59">
        <v>21</v>
      </c>
    </row>
    <row r="60" spans="1:13" x14ac:dyDescent="0.35">
      <c r="A60" t="s">
        <v>709</v>
      </c>
      <c r="B60" t="s">
        <v>710</v>
      </c>
      <c r="C60" t="s">
        <v>227</v>
      </c>
      <c r="D60" s="8">
        <v>46155</v>
      </c>
      <c r="E60" s="8">
        <v>46167</v>
      </c>
      <c r="F60" s="8">
        <v>46187</v>
      </c>
      <c r="G60" t="s">
        <v>584</v>
      </c>
      <c r="H60" s="6">
        <v>12877</v>
      </c>
      <c r="I60" s="6">
        <v>7799</v>
      </c>
      <c r="J60" s="6">
        <v>7681</v>
      </c>
      <c r="K60" t="s">
        <v>581</v>
      </c>
      <c r="L60">
        <v>20</v>
      </c>
    </row>
    <row r="61" spans="1:13" x14ac:dyDescent="0.35">
      <c r="A61" t="s">
        <v>711</v>
      </c>
      <c r="B61" t="s">
        <v>712</v>
      </c>
      <c r="C61" t="s">
        <v>331</v>
      </c>
      <c r="D61" s="8">
        <v>46048</v>
      </c>
      <c r="E61" s="8">
        <v>46054</v>
      </c>
      <c r="G61" t="s">
        <v>593</v>
      </c>
      <c r="H61" s="6">
        <v>3910</v>
      </c>
      <c r="I61" s="6">
        <v>1804</v>
      </c>
      <c r="J61" s="6">
        <v>0</v>
      </c>
      <c r="K61" t="s">
        <v>585</v>
      </c>
      <c r="L61">
        <v>116</v>
      </c>
    </row>
    <row r="62" spans="1:13" x14ac:dyDescent="0.35">
      <c r="A62" t="s">
        <v>713</v>
      </c>
      <c r="B62" t="s">
        <v>714</v>
      </c>
      <c r="C62" t="s">
        <v>331</v>
      </c>
      <c r="D62" s="8">
        <v>46159</v>
      </c>
      <c r="E62" s="8">
        <v>46176</v>
      </c>
      <c r="F62" s="8">
        <v>46181</v>
      </c>
      <c r="G62" t="s">
        <v>584</v>
      </c>
      <c r="H62" s="6">
        <v>1305</v>
      </c>
      <c r="I62" s="6">
        <v>664</v>
      </c>
      <c r="J62" s="6">
        <v>631</v>
      </c>
      <c r="K62" t="s">
        <v>581</v>
      </c>
      <c r="L62">
        <v>5</v>
      </c>
    </row>
    <row r="63" spans="1:13" x14ac:dyDescent="0.35">
      <c r="A63" t="s">
        <v>715</v>
      </c>
      <c r="B63" t="s">
        <v>716</v>
      </c>
      <c r="C63" t="s">
        <v>391</v>
      </c>
      <c r="D63" s="8">
        <v>46099</v>
      </c>
      <c r="E63" s="8">
        <v>46116</v>
      </c>
      <c r="F63" s="8">
        <v>46140</v>
      </c>
      <c r="G63" t="s">
        <v>596</v>
      </c>
      <c r="H63" s="6">
        <v>10306</v>
      </c>
      <c r="I63" s="6">
        <v>6333</v>
      </c>
      <c r="J63" s="6">
        <v>6093</v>
      </c>
      <c r="K63" t="s">
        <v>581</v>
      </c>
      <c r="L63">
        <v>24</v>
      </c>
    </row>
    <row r="64" spans="1:13" x14ac:dyDescent="0.35">
      <c r="A64" t="s">
        <v>717</v>
      </c>
      <c r="B64" t="s">
        <v>718</v>
      </c>
      <c r="C64" t="s">
        <v>171</v>
      </c>
      <c r="D64" s="8">
        <v>46092</v>
      </c>
      <c r="E64" s="8">
        <v>46106</v>
      </c>
      <c r="F64" s="8">
        <v>46113</v>
      </c>
      <c r="G64" t="s">
        <v>593</v>
      </c>
      <c r="H64" s="6">
        <v>3345</v>
      </c>
      <c r="I64" s="6">
        <v>2202</v>
      </c>
      <c r="J64" s="6">
        <v>2099</v>
      </c>
      <c r="K64" t="s">
        <v>581</v>
      </c>
      <c r="L64">
        <v>7</v>
      </c>
    </row>
    <row r="65" spans="1:13" x14ac:dyDescent="0.35">
      <c r="A65" t="s">
        <v>719</v>
      </c>
      <c r="B65" t="s">
        <v>720</v>
      </c>
      <c r="C65" t="s">
        <v>35</v>
      </c>
      <c r="D65" s="8">
        <v>46067</v>
      </c>
      <c r="E65" s="8">
        <v>46080</v>
      </c>
      <c r="G65" t="s">
        <v>580</v>
      </c>
      <c r="H65" s="6">
        <v>13578</v>
      </c>
      <c r="I65" s="6">
        <v>9560</v>
      </c>
      <c r="J65" s="6">
        <v>0</v>
      </c>
      <c r="K65" t="s">
        <v>585</v>
      </c>
      <c r="L65">
        <v>90</v>
      </c>
    </row>
    <row r="66" spans="1:13" x14ac:dyDescent="0.35">
      <c r="A66" t="s">
        <v>721</v>
      </c>
      <c r="B66" t="s">
        <v>722</v>
      </c>
      <c r="C66" t="s">
        <v>325</v>
      </c>
      <c r="D66" s="8">
        <v>46110</v>
      </c>
      <c r="E66" s="8">
        <v>46123</v>
      </c>
      <c r="G66" t="s">
        <v>580</v>
      </c>
      <c r="H66" s="6">
        <v>7706</v>
      </c>
      <c r="I66" s="6">
        <v>4489</v>
      </c>
      <c r="J66" s="6">
        <v>0</v>
      </c>
      <c r="K66" t="s">
        <v>585</v>
      </c>
      <c r="L66">
        <v>47</v>
      </c>
    </row>
    <row r="67" spans="1:13" x14ac:dyDescent="0.35">
      <c r="A67" t="s">
        <v>723</v>
      </c>
      <c r="B67" t="s">
        <v>724</v>
      </c>
      <c r="C67" t="s">
        <v>333</v>
      </c>
      <c r="D67" s="8">
        <v>46125</v>
      </c>
      <c r="E67" s="8">
        <v>46129</v>
      </c>
      <c r="G67" t="s">
        <v>588</v>
      </c>
      <c r="H67" s="6">
        <v>11554</v>
      </c>
      <c r="I67" s="6">
        <v>7880</v>
      </c>
      <c r="J67" s="6">
        <v>0</v>
      </c>
      <c r="K67" t="s">
        <v>671</v>
      </c>
      <c r="L67">
        <v>41</v>
      </c>
      <c r="M67" t="s">
        <v>725</v>
      </c>
    </row>
    <row r="68" spans="1:13" x14ac:dyDescent="0.35">
      <c r="A68" t="s">
        <v>726</v>
      </c>
      <c r="B68" t="s">
        <v>727</v>
      </c>
      <c r="C68" t="s">
        <v>278</v>
      </c>
      <c r="D68" s="8">
        <v>46140</v>
      </c>
      <c r="E68" s="8">
        <v>46151</v>
      </c>
      <c r="F68" s="8">
        <v>46156</v>
      </c>
      <c r="G68" t="s">
        <v>593</v>
      </c>
      <c r="H68" s="6">
        <v>2224</v>
      </c>
      <c r="I68" s="6">
        <v>1781</v>
      </c>
      <c r="J68" s="6">
        <v>1745</v>
      </c>
      <c r="K68" t="s">
        <v>581</v>
      </c>
      <c r="L68">
        <v>5</v>
      </c>
    </row>
    <row r="69" spans="1:13" x14ac:dyDescent="0.35">
      <c r="A69" t="s">
        <v>728</v>
      </c>
      <c r="B69" t="s">
        <v>729</v>
      </c>
      <c r="C69" t="s">
        <v>287</v>
      </c>
      <c r="D69" s="8">
        <v>46017</v>
      </c>
      <c r="E69" s="8">
        <v>46025</v>
      </c>
      <c r="F69" s="8">
        <v>46030</v>
      </c>
      <c r="G69" t="s">
        <v>588</v>
      </c>
      <c r="H69" s="6">
        <v>2473</v>
      </c>
      <c r="I69" s="6">
        <v>1474</v>
      </c>
      <c r="J69" s="6">
        <v>1402</v>
      </c>
      <c r="K69" t="s">
        <v>581</v>
      </c>
      <c r="L69">
        <v>5</v>
      </c>
    </row>
    <row r="70" spans="1:13" x14ac:dyDescent="0.35">
      <c r="A70" t="s">
        <v>730</v>
      </c>
      <c r="B70" t="s">
        <v>731</v>
      </c>
      <c r="C70" t="s">
        <v>480</v>
      </c>
      <c r="D70" s="8">
        <v>46146</v>
      </c>
      <c r="E70" s="8">
        <v>46160</v>
      </c>
      <c r="F70" s="8">
        <v>46181</v>
      </c>
      <c r="G70" t="s">
        <v>580</v>
      </c>
      <c r="H70" s="6">
        <v>4015</v>
      </c>
      <c r="I70" s="6">
        <v>2390</v>
      </c>
      <c r="J70" s="6">
        <v>0</v>
      </c>
      <c r="K70" t="s">
        <v>653</v>
      </c>
      <c r="L70">
        <v>21</v>
      </c>
      <c r="M70" t="s">
        <v>732</v>
      </c>
    </row>
    <row r="71" spans="1:13" x14ac:dyDescent="0.35">
      <c r="A71" t="s">
        <v>733</v>
      </c>
      <c r="B71" t="s">
        <v>734</v>
      </c>
      <c r="C71" t="s">
        <v>65</v>
      </c>
      <c r="D71" s="8">
        <v>46106</v>
      </c>
      <c r="E71" s="8">
        <v>46117</v>
      </c>
      <c r="G71" t="s">
        <v>588</v>
      </c>
      <c r="H71" s="6">
        <v>15829</v>
      </c>
      <c r="I71" s="6">
        <v>13151</v>
      </c>
      <c r="J71" s="6">
        <v>0</v>
      </c>
      <c r="K71" t="s">
        <v>585</v>
      </c>
      <c r="L71">
        <v>53</v>
      </c>
    </row>
    <row r="72" spans="1:13" x14ac:dyDescent="0.35">
      <c r="A72" t="s">
        <v>735</v>
      </c>
      <c r="B72" t="s">
        <v>736</v>
      </c>
      <c r="C72" t="s">
        <v>372</v>
      </c>
      <c r="D72" s="8">
        <v>46084</v>
      </c>
      <c r="E72" s="8">
        <v>46094</v>
      </c>
      <c r="G72" t="s">
        <v>584</v>
      </c>
      <c r="H72" s="6">
        <v>11597</v>
      </c>
      <c r="I72" s="6">
        <v>8786</v>
      </c>
      <c r="J72" s="6">
        <v>0</v>
      </c>
      <c r="K72" t="s">
        <v>585</v>
      </c>
      <c r="L72">
        <v>76</v>
      </c>
    </row>
    <row r="73" spans="1:13" x14ac:dyDescent="0.35">
      <c r="A73" t="s">
        <v>737</v>
      </c>
      <c r="B73" t="s">
        <v>738</v>
      </c>
      <c r="C73" t="s">
        <v>509</v>
      </c>
      <c r="D73" s="8">
        <v>46120</v>
      </c>
      <c r="E73" s="8">
        <v>46133</v>
      </c>
      <c r="G73" t="s">
        <v>593</v>
      </c>
      <c r="H73" s="6">
        <v>14042</v>
      </c>
      <c r="I73" s="6">
        <v>8153</v>
      </c>
      <c r="J73" s="6">
        <v>0</v>
      </c>
      <c r="K73" t="s">
        <v>585</v>
      </c>
      <c r="L73">
        <v>37</v>
      </c>
    </row>
    <row r="74" spans="1:13" x14ac:dyDescent="0.35">
      <c r="A74" t="s">
        <v>739</v>
      </c>
      <c r="B74" t="s">
        <v>740</v>
      </c>
      <c r="C74" t="s">
        <v>509</v>
      </c>
      <c r="D74" s="8">
        <v>46113</v>
      </c>
      <c r="E74" s="8">
        <v>46122</v>
      </c>
      <c r="F74" s="8">
        <v>46135</v>
      </c>
      <c r="G74" t="s">
        <v>588</v>
      </c>
      <c r="H74" s="6">
        <v>1331</v>
      </c>
      <c r="I74" s="6">
        <v>617</v>
      </c>
      <c r="J74" s="6">
        <v>0</v>
      </c>
      <c r="K74" t="s">
        <v>653</v>
      </c>
      <c r="L74">
        <v>13</v>
      </c>
      <c r="M74" t="s">
        <v>741</v>
      </c>
    </row>
    <row r="75" spans="1:13" x14ac:dyDescent="0.35">
      <c r="A75" t="s">
        <v>742</v>
      </c>
      <c r="B75" t="s">
        <v>743</v>
      </c>
      <c r="C75" t="s">
        <v>142</v>
      </c>
      <c r="D75" s="8">
        <v>46145</v>
      </c>
      <c r="E75" s="8">
        <v>46156</v>
      </c>
      <c r="G75" t="s">
        <v>584</v>
      </c>
      <c r="H75" s="6">
        <v>12821</v>
      </c>
      <c r="I75" s="6">
        <v>8673</v>
      </c>
      <c r="J75" s="6">
        <v>0</v>
      </c>
      <c r="K75" t="s">
        <v>671</v>
      </c>
      <c r="L75">
        <v>14</v>
      </c>
      <c r="M75" t="s">
        <v>675</v>
      </c>
    </row>
    <row r="76" spans="1:13" x14ac:dyDescent="0.35">
      <c r="A76" t="s">
        <v>744</v>
      </c>
      <c r="B76" t="s">
        <v>745</v>
      </c>
      <c r="C76" t="s">
        <v>418</v>
      </c>
      <c r="D76" s="8">
        <v>46072</v>
      </c>
      <c r="E76" s="8">
        <v>46089</v>
      </c>
      <c r="F76" s="8">
        <v>46121</v>
      </c>
      <c r="G76" t="s">
        <v>580</v>
      </c>
      <c r="H76" s="6">
        <v>1054</v>
      </c>
      <c r="I76" s="6">
        <v>892</v>
      </c>
      <c r="J76" s="6">
        <v>350</v>
      </c>
      <c r="K76" t="s">
        <v>607</v>
      </c>
      <c r="L76">
        <v>81</v>
      </c>
      <c r="M76" t="s">
        <v>746</v>
      </c>
    </row>
    <row r="77" spans="1:13" x14ac:dyDescent="0.35">
      <c r="A77" t="s">
        <v>747</v>
      </c>
      <c r="B77" t="s">
        <v>748</v>
      </c>
      <c r="C77" t="s">
        <v>269</v>
      </c>
      <c r="D77" s="8">
        <v>46017</v>
      </c>
      <c r="E77" s="8">
        <v>46021</v>
      </c>
      <c r="F77" s="8">
        <v>46044</v>
      </c>
      <c r="G77" t="s">
        <v>580</v>
      </c>
      <c r="H77" s="6">
        <v>13472</v>
      </c>
      <c r="I77" s="6">
        <v>11401</v>
      </c>
      <c r="J77" s="6">
        <v>11384</v>
      </c>
      <c r="K77" t="s">
        <v>581</v>
      </c>
      <c r="L77">
        <v>23</v>
      </c>
    </row>
    <row r="78" spans="1:13" x14ac:dyDescent="0.35">
      <c r="A78" t="s">
        <v>749</v>
      </c>
      <c r="B78" t="s">
        <v>750</v>
      </c>
      <c r="C78" t="s">
        <v>298</v>
      </c>
      <c r="D78" s="8">
        <v>46129</v>
      </c>
      <c r="E78" s="8">
        <v>46143</v>
      </c>
      <c r="F78" s="8">
        <v>46160</v>
      </c>
      <c r="G78" t="s">
        <v>580</v>
      </c>
      <c r="H78" s="6">
        <v>5765</v>
      </c>
      <c r="I78" s="6">
        <v>3675</v>
      </c>
      <c r="J78" s="6">
        <v>3617</v>
      </c>
      <c r="K78" t="s">
        <v>581</v>
      </c>
      <c r="L78">
        <v>17</v>
      </c>
    </row>
    <row r="79" spans="1:13" x14ac:dyDescent="0.35">
      <c r="A79" t="s">
        <v>751</v>
      </c>
      <c r="B79" t="s">
        <v>752</v>
      </c>
      <c r="C79" t="s">
        <v>404</v>
      </c>
      <c r="D79" s="8">
        <v>46062</v>
      </c>
      <c r="E79" s="8">
        <v>46067</v>
      </c>
      <c r="F79" s="8">
        <v>46079</v>
      </c>
      <c r="G79" t="s">
        <v>593</v>
      </c>
      <c r="H79" s="6">
        <v>11388</v>
      </c>
      <c r="I79" s="6">
        <v>9498</v>
      </c>
      <c r="J79" s="6">
        <v>9239</v>
      </c>
      <c r="K79" t="s">
        <v>581</v>
      </c>
      <c r="L79">
        <v>12</v>
      </c>
    </row>
    <row r="80" spans="1:13" x14ac:dyDescent="0.35">
      <c r="A80" t="s">
        <v>753</v>
      </c>
      <c r="B80" t="s">
        <v>754</v>
      </c>
      <c r="C80" t="s">
        <v>174</v>
      </c>
      <c r="D80" s="8">
        <v>46029</v>
      </c>
      <c r="E80" s="8">
        <v>46039</v>
      </c>
      <c r="G80" t="s">
        <v>593</v>
      </c>
      <c r="H80" s="6">
        <v>3175</v>
      </c>
      <c r="I80" s="6">
        <v>1544</v>
      </c>
      <c r="J80" s="6">
        <v>0</v>
      </c>
      <c r="K80" t="s">
        <v>585</v>
      </c>
      <c r="L80">
        <v>131</v>
      </c>
    </row>
    <row r="81" spans="1:13" x14ac:dyDescent="0.35">
      <c r="A81" t="s">
        <v>755</v>
      </c>
      <c r="B81" t="s">
        <v>756</v>
      </c>
      <c r="C81" t="s">
        <v>478</v>
      </c>
      <c r="D81" s="8">
        <v>46152</v>
      </c>
      <c r="E81" s="8">
        <v>46170</v>
      </c>
      <c r="G81" t="s">
        <v>593</v>
      </c>
      <c r="H81" s="6">
        <v>13047</v>
      </c>
      <c r="I81" s="6">
        <v>6143</v>
      </c>
      <c r="J81" s="6">
        <v>0</v>
      </c>
      <c r="K81" t="s">
        <v>671</v>
      </c>
      <c r="L81">
        <v>0</v>
      </c>
      <c r="M81" t="s">
        <v>725</v>
      </c>
    </row>
    <row r="82" spans="1:13" x14ac:dyDescent="0.35">
      <c r="A82" t="s">
        <v>757</v>
      </c>
      <c r="B82" t="s">
        <v>758</v>
      </c>
      <c r="C82" t="s">
        <v>112</v>
      </c>
      <c r="D82" s="8">
        <v>46010</v>
      </c>
      <c r="E82" s="8">
        <v>46022</v>
      </c>
      <c r="F82" s="8">
        <v>46044</v>
      </c>
      <c r="G82" t="s">
        <v>588</v>
      </c>
      <c r="H82" s="6">
        <v>2836</v>
      </c>
      <c r="I82" s="6">
        <v>1384</v>
      </c>
      <c r="J82" s="6">
        <v>1378</v>
      </c>
      <c r="K82" t="s">
        <v>581</v>
      </c>
      <c r="L82">
        <v>22</v>
      </c>
    </row>
    <row r="83" spans="1:13" x14ac:dyDescent="0.35">
      <c r="A83" t="s">
        <v>759</v>
      </c>
      <c r="B83" t="s">
        <v>760</v>
      </c>
      <c r="C83" t="s">
        <v>98</v>
      </c>
      <c r="D83" s="8">
        <v>46062</v>
      </c>
      <c r="E83" s="8">
        <v>46071</v>
      </c>
      <c r="F83" s="8">
        <v>46086</v>
      </c>
      <c r="G83" t="s">
        <v>593</v>
      </c>
      <c r="H83" s="6">
        <v>4317</v>
      </c>
      <c r="I83" s="6">
        <v>3329</v>
      </c>
      <c r="J83" s="6">
        <v>3233</v>
      </c>
      <c r="K83" t="s">
        <v>581</v>
      </c>
      <c r="L83">
        <v>15</v>
      </c>
    </row>
    <row r="84" spans="1:13" x14ac:dyDescent="0.35">
      <c r="A84" t="s">
        <v>761</v>
      </c>
      <c r="B84" t="s">
        <v>762</v>
      </c>
      <c r="C84" t="s">
        <v>190</v>
      </c>
      <c r="D84" s="8">
        <v>46023</v>
      </c>
      <c r="E84" s="8">
        <v>46039</v>
      </c>
      <c r="G84" t="s">
        <v>596</v>
      </c>
      <c r="H84" s="6">
        <v>11098</v>
      </c>
      <c r="I84" s="6">
        <v>5684</v>
      </c>
      <c r="J84" s="6">
        <v>0</v>
      </c>
      <c r="K84" t="s">
        <v>585</v>
      </c>
      <c r="L84">
        <v>131</v>
      </c>
    </row>
    <row r="85" spans="1:13" x14ac:dyDescent="0.35">
      <c r="A85" t="s">
        <v>763</v>
      </c>
      <c r="B85" t="s">
        <v>764</v>
      </c>
      <c r="C85" t="s">
        <v>516</v>
      </c>
      <c r="D85" s="8">
        <v>46141</v>
      </c>
      <c r="E85" s="8">
        <v>46151</v>
      </c>
      <c r="G85" t="s">
        <v>584</v>
      </c>
      <c r="H85" s="6">
        <v>15568</v>
      </c>
      <c r="I85" s="6">
        <v>10838</v>
      </c>
      <c r="J85" s="6">
        <v>0</v>
      </c>
      <c r="K85" t="s">
        <v>585</v>
      </c>
      <c r="L85">
        <v>19</v>
      </c>
    </row>
    <row r="86" spans="1:13" x14ac:dyDescent="0.35">
      <c r="A86" t="s">
        <v>765</v>
      </c>
      <c r="B86" t="s">
        <v>766</v>
      </c>
      <c r="C86" t="s">
        <v>377</v>
      </c>
      <c r="D86" s="8">
        <v>46152</v>
      </c>
      <c r="E86" s="8">
        <v>46164</v>
      </c>
      <c r="F86" s="8">
        <v>46178</v>
      </c>
      <c r="G86" t="s">
        <v>580</v>
      </c>
      <c r="H86" s="6">
        <v>14897</v>
      </c>
      <c r="I86" s="6">
        <v>8384</v>
      </c>
      <c r="J86" s="6">
        <v>3096</v>
      </c>
      <c r="K86" t="s">
        <v>607</v>
      </c>
      <c r="L86">
        <v>6</v>
      </c>
      <c r="M86" t="s">
        <v>767</v>
      </c>
    </row>
    <row r="87" spans="1:13" x14ac:dyDescent="0.35">
      <c r="A87" t="s">
        <v>768</v>
      </c>
      <c r="B87" t="s">
        <v>769</v>
      </c>
      <c r="C87" t="s">
        <v>490</v>
      </c>
      <c r="D87" s="8">
        <v>46130</v>
      </c>
      <c r="E87" s="8">
        <v>46143</v>
      </c>
      <c r="G87" t="s">
        <v>588</v>
      </c>
      <c r="H87" s="6">
        <v>3280</v>
      </c>
      <c r="I87" s="6">
        <v>2774</v>
      </c>
      <c r="J87" s="6">
        <v>0</v>
      </c>
      <c r="K87" t="s">
        <v>585</v>
      </c>
      <c r="L87">
        <v>27</v>
      </c>
    </row>
    <row r="88" spans="1:13" x14ac:dyDescent="0.35">
      <c r="A88" t="s">
        <v>770</v>
      </c>
      <c r="B88" t="s">
        <v>771</v>
      </c>
      <c r="C88" t="s">
        <v>174</v>
      </c>
      <c r="D88" s="8">
        <v>46111</v>
      </c>
      <c r="E88" s="8">
        <v>46122</v>
      </c>
      <c r="F88" s="8">
        <v>46152</v>
      </c>
      <c r="G88" t="s">
        <v>584</v>
      </c>
      <c r="H88" s="6">
        <v>5589</v>
      </c>
      <c r="I88" s="6">
        <v>3591</v>
      </c>
      <c r="J88" s="6">
        <v>0</v>
      </c>
      <c r="K88" t="s">
        <v>653</v>
      </c>
      <c r="L88">
        <v>30</v>
      </c>
      <c r="M88" t="s">
        <v>772</v>
      </c>
    </row>
    <row r="89" spans="1:13" x14ac:dyDescent="0.35">
      <c r="A89" t="s">
        <v>773</v>
      </c>
      <c r="B89" t="s">
        <v>774</v>
      </c>
      <c r="C89" t="s">
        <v>351</v>
      </c>
      <c r="D89" s="8">
        <v>46151</v>
      </c>
      <c r="E89" s="8">
        <v>46162</v>
      </c>
      <c r="F89" s="8">
        <v>46174</v>
      </c>
      <c r="G89" t="s">
        <v>593</v>
      </c>
      <c r="H89" s="6">
        <v>14944</v>
      </c>
      <c r="I89" s="6">
        <v>9352</v>
      </c>
      <c r="J89" s="6">
        <v>9100</v>
      </c>
      <c r="K89" t="s">
        <v>581</v>
      </c>
      <c r="L89">
        <v>12</v>
      </c>
    </row>
    <row r="90" spans="1:13" x14ac:dyDescent="0.35">
      <c r="A90" t="s">
        <v>775</v>
      </c>
      <c r="B90" t="s">
        <v>776</v>
      </c>
      <c r="C90" t="s">
        <v>117</v>
      </c>
      <c r="D90" s="8">
        <v>46098</v>
      </c>
      <c r="E90" s="8">
        <v>46106</v>
      </c>
      <c r="F90" s="8">
        <v>46116</v>
      </c>
      <c r="G90" t="s">
        <v>593</v>
      </c>
      <c r="H90" s="6">
        <v>1725</v>
      </c>
      <c r="I90" s="6">
        <v>1310</v>
      </c>
      <c r="J90" s="6">
        <v>1282</v>
      </c>
      <c r="K90" t="s">
        <v>581</v>
      </c>
      <c r="L90">
        <v>10</v>
      </c>
    </row>
    <row r="91" spans="1:13" x14ac:dyDescent="0.35">
      <c r="A91" t="s">
        <v>777</v>
      </c>
      <c r="B91" t="s">
        <v>778</v>
      </c>
      <c r="C91" t="s">
        <v>307</v>
      </c>
      <c r="D91" s="8">
        <v>46020</v>
      </c>
      <c r="E91" s="8">
        <v>46036</v>
      </c>
      <c r="F91" s="8">
        <v>46058</v>
      </c>
      <c r="G91" t="s">
        <v>593</v>
      </c>
      <c r="H91" s="6">
        <v>2332</v>
      </c>
      <c r="I91" s="6">
        <v>1325</v>
      </c>
      <c r="J91" s="6">
        <v>1297</v>
      </c>
      <c r="K91" t="s">
        <v>581</v>
      </c>
      <c r="L91">
        <v>22</v>
      </c>
    </row>
    <row r="92" spans="1:13" x14ac:dyDescent="0.35">
      <c r="A92" t="s">
        <v>779</v>
      </c>
      <c r="B92" t="s">
        <v>780</v>
      </c>
      <c r="C92" t="s">
        <v>210</v>
      </c>
      <c r="D92" s="8">
        <v>46020</v>
      </c>
      <c r="E92" s="8">
        <v>46027</v>
      </c>
      <c r="F92" s="8">
        <v>46062</v>
      </c>
      <c r="G92" t="s">
        <v>584</v>
      </c>
      <c r="H92" s="6">
        <v>9665</v>
      </c>
      <c r="I92" s="6">
        <v>8044</v>
      </c>
      <c r="J92" s="6">
        <v>1695</v>
      </c>
      <c r="K92" t="s">
        <v>607</v>
      </c>
      <c r="L92">
        <v>143</v>
      </c>
      <c r="M92" t="s">
        <v>608</v>
      </c>
    </row>
    <row r="93" spans="1:13" x14ac:dyDescent="0.35">
      <c r="A93" t="s">
        <v>781</v>
      </c>
      <c r="B93" t="s">
        <v>782</v>
      </c>
      <c r="C93" t="s">
        <v>233</v>
      </c>
      <c r="D93" s="8">
        <v>46084</v>
      </c>
      <c r="E93" s="8">
        <v>46093</v>
      </c>
      <c r="F93" s="8">
        <v>46103</v>
      </c>
      <c r="G93" t="s">
        <v>580</v>
      </c>
      <c r="H93" s="6">
        <v>17567</v>
      </c>
      <c r="I93" s="6">
        <v>8159</v>
      </c>
      <c r="J93" s="6">
        <v>8101</v>
      </c>
      <c r="K93" t="s">
        <v>581</v>
      </c>
      <c r="L93">
        <v>10</v>
      </c>
    </row>
    <row r="94" spans="1:13" x14ac:dyDescent="0.35">
      <c r="A94" t="s">
        <v>783</v>
      </c>
      <c r="B94" t="s">
        <v>784</v>
      </c>
      <c r="C94" t="s">
        <v>249</v>
      </c>
      <c r="D94" s="8">
        <v>46069</v>
      </c>
      <c r="E94" s="8">
        <v>46084</v>
      </c>
      <c r="G94" t="s">
        <v>596</v>
      </c>
      <c r="H94" s="6">
        <v>10946</v>
      </c>
      <c r="I94" s="6">
        <v>5006</v>
      </c>
      <c r="J94" s="6">
        <v>0</v>
      </c>
      <c r="K94" t="s">
        <v>585</v>
      </c>
      <c r="L94">
        <v>86</v>
      </c>
    </row>
    <row r="95" spans="1:13" x14ac:dyDescent="0.35">
      <c r="A95" t="s">
        <v>785</v>
      </c>
      <c r="B95" t="s">
        <v>786</v>
      </c>
      <c r="C95" t="s">
        <v>331</v>
      </c>
      <c r="D95" s="8">
        <v>46089</v>
      </c>
      <c r="E95" s="8">
        <v>46099</v>
      </c>
      <c r="F95" s="8">
        <v>46118</v>
      </c>
      <c r="G95" t="s">
        <v>580</v>
      </c>
      <c r="H95" s="6">
        <v>6887</v>
      </c>
      <c r="I95" s="6">
        <v>5742</v>
      </c>
      <c r="J95" s="6">
        <v>5614</v>
      </c>
      <c r="K95" t="s">
        <v>581</v>
      </c>
      <c r="L95">
        <v>19</v>
      </c>
    </row>
    <row r="96" spans="1:13" x14ac:dyDescent="0.35">
      <c r="A96" t="s">
        <v>787</v>
      </c>
      <c r="B96" t="s">
        <v>788</v>
      </c>
      <c r="C96" t="s">
        <v>458</v>
      </c>
      <c r="D96" s="8">
        <v>46113</v>
      </c>
      <c r="E96" s="8">
        <v>46125</v>
      </c>
      <c r="F96" s="8">
        <v>46141</v>
      </c>
      <c r="G96" t="s">
        <v>596</v>
      </c>
      <c r="H96" s="6">
        <v>15739</v>
      </c>
      <c r="I96" s="6">
        <v>8575</v>
      </c>
      <c r="J96" s="6">
        <v>8573</v>
      </c>
      <c r="K96" t="s">
        <v>581</v>
      </c>
      <c r="L96">
        <v>16</v>
      </c>
    </row>
    <row r="97" spans="1:13" x14ac:dyDescent="0.35">
      <c r="A97" t="s">
        <v>789</v>
      </c>
      <c r="B97" t="s">
        <v>790</v>
      </c>
      <c r="C97" t="s">
        <v>174</v>
      </c>
      <c r="D97" s="8">
        <v>46159</v>
      </c>
      <c r="E97" s="8">
        <v>46173</v>
      </c>
      <c r="F97" s="8">
        <v>46198</v>
      </c>
      <c r="G97" t="s">
        <v>580</v>
      </c>
      <c r="H97" s="6">
        <v>12957</v>
      </c>
      <c r="I97" s="6">
        <v>10487</v>
      </c>
      <c r="J97" s="6">
        <v>10311</v>
      </c>
      <c r="K97" t="s">
        <v>581</v>
      </c>
      <c r="L97">
        <v>25</v>
      </c>
    </row>
    <row r="98" spans="1:13" x14ac:dyDescent="0.35">
      <c r="A98" t="s">
        <v>791</v>
      </c>
      <c r="B98" t="s">
        <v>792</v>
      </c>
      <c r="C98" t="s">
        <v>445</v>
      </c>
      <c r="D98" s="8">
        <v>46127</v>
      </c>
      <c r="E98" s="8">
        <v>46137</v>
      </c>
      <c r="F98" s="8">
        <v>46162</v>
      </c>
      <c r="G98" t="s">
        <v>588</v>
      </c>
      <c r="H98" s="6">
        <v>9895</v>
      </c>
      <c r="I98" s="6">
        <v>7533</v>
      </c>
      <c r="J98" s="6">
        <v>7216</v>
      </c>
      <c r="K98" t="s">
        <v>581</v>
      </c>
      <c r="L98">
        <v>25</v>
      </c>
    </row>
    <row r="99" spans="1:13" x14ac:dyDescent="0.35">
      <c r="A99" t="s">
        <v>793</v>
      </c>
      <c r="B99" t="s">
        <v>794</v>
      </c>
      <c r="C99" t="s">
        <v>437</v>
      </c>
      <c r="D99" s="8">
        <v>46014</v>
      </c>
      <c r="E99" s="8">
        <v>46026</v>
      </c>
      <c r="F99" s="8">
        <v>46034</v>
      </c>
      <c r="G99" t="s">
        <v>593</v>
      </c>
      <c r="H99" s="6">
        <v>3433</v>
      </c>
      <c r="I99" s="6">
        <v>1753</v>
      </c>
      <c r="J99" s="6">
        <v>0</v>
      </c>
      <c r="K99" t="s">
        <v>653</v>
      </c>
      <c r="L99">
        <v>8</v>
      </c>
      <c r="M99" t="s">
        <v>772</v>
      </c>
    </row>
    <row r="100" spans="1:13" x14ac:dyDescent="0.35">
      <c r="A100" t="s">
        <v>795</v>
      </c>
      <c r="B100" t="s">
        <v>796</v>
      </c>
      <c r="C100" t="s">
        <v>87</v>
      </c>
      <c r="D100" s="8">
        <v>46119</v>
      </c>
      <c r="E100" s="8">
        <v>46135</v>
      </c>
      <c r="G100" t="s">
        <v>593</v>
      </c>
      <c r="H100" s="6">
        <v>748</v>
      </c>
      <c r="I100" s="6">
        <v>391</v>
      </c>
      <c r="J100" s="6">
        <v>0</v>
      </c>
      <c r="K100" t="s">
        <v>585</v>
      </c>
      <c r="L100">
        <v>35</v>
      </c>
    </row>
    <row r="101" spans="1:13" x14ac:dyDescent="0.35">
      <c r="A101" t="s">
        <v>797</v>
      </c>
      <c r="B101" t="s">
        <v>798</v>
      </c>
      <c r="C101" t="s">
        <v>319</v>
      </c>
      <c r="D101" s="8">
        <v>46087</v>
      </c>
      <c r="E101" s="8">
        <v>46101</v>
      </c>
      <c r="F101" s="8">
        <v>46117</v>
      </c>
      <c r="G101" t="s">
        <v>588</v>
      </c>
      <c r="H101" s="6">
        <v>4956</v>
      </c>
      <c r="I101" s="6">
        <v>3536</v>
      </c>
      <c r="J101" s="6">
        <v>3500</v>
      </c>
      <c r="K101" t="s">
        <v>581</v>
      </c>
      <c r="L101">
        <v>16</v>
      </c>
    </row>
    <row r="102" spans="1:13" x14ac:dyDescent="0.35">
      <c r="A102" t="s">
        <v>799</v>
      </c>
      <c r="B102" t="s">
        <v>800</v>
      </c>
      <c r="C102" t="s">
        <v>363</v>
      </c>
      <c r="D102" s="8">
        <v>46095</v>
      </c>
      <c r="E102" s="8">
        <v>46108</v>
      </c>
      <c r="F102" s="8">
        <v>46129</v>
      </c>
      <c r="G102" t="s">
        <v>584</v>
      </c>
      <c r="H102" s="6">
        <v>6517</v>
      </c>
      <c r="I102" s="6">
        <v>3314</v>
      </c>
      <c r="J102" s="6">
        <v>3249</v>
      </c>
      <c r="K102" t="s">
        <v>581</v>
      </c>
      <c r="L102">
        <v>21</v>
      </c>
    </row>
    <row r="103" spans="1:13" x14ac:dyDescent="0.35">
      <c r="A103" t="s">
        <v>801</v>
      </c>
      <c r="B103" t="s">
        <v>802</v>
      </c>
      <c r="C103" t="s">
        <v>443</v>
      </c>
      <c r="D103" s="8">
        <v>46113</v>
      </c>
      <c r="E103" s="8">
        <v>46117</v>
      </c>
      <c r="F103" s="8">
        <v>46139</v>
      </c>
      <c r="G103" t="s">
        <v>596</v>
      </c>
      <c r="H103" s="6">
        <v>14972</v>
      </c>
      <c r="I103" s="6">
        <v>6852</v>
      </c>
      <c r="J103" s="6">
        <v>6792</v>
      </c>
      <c r="K103" t="s">
        <v>581</v>
      </c>
      <c r="L103">
        <v>22</v>
      </c>
    </row>
    <row r="104" spans="1:13" x14ac:dyDescent="0.35">
      <c r="A104" t="s">
        <v>803</v>
      </c>
      <c r="B104" t="s">
        <v>804</v>
      </c>
      <c r="C104" t="s">
        <v>263</v>
      </c>
      <c r="D104" s="8">
        <v>46019</v>
      </c>
      <c r="E104" s="8">
        <v>46028</v>
      </c>
      <c r="F104" s="8">
        <v>46042</v>
      </c>
      <c r="G104" t="s">
        <v>580</v>
      </c>
      <c r="H104" s="6">
        <v>10361</v>
      </c>
      <c r="I104" s="6">
        <v>8017</v>
      </c>
      <c r="J104" s="6">
        <v>7626</v>
      </c>
      <c r="K104" t="s">
        <v>581</v>
      </c>
      <c r="L104">
        <v>14</v>
      </c>
    </row>
    <row r="105" spans="1:13" x14ac:dyDescent="0.35">
      <c r="A105" t="s">
        <v>805</v>
      </c>
      <c r="B105" t="s">
        <v>806</v>
      </c>
      <c r="C105" t="s">
        <v>183</v>
      </c>
      <c r="D105" s="8">
        <v>46068</v>
      </c>
      <c r="E105" s="8">
        <v>46084</v>
      </c>
      <c r="G105" t="s">
        <v>588</v>
      </c>
      <c r="H105" s="6">
        <v>16679</v>
      </c>
      <c r="I105" s="6">
        <v>9441</v>
      </c>
      <c r="J105" s="6">
        <v>0</v>
      </c>
      <c r="K105" t="s">
        <v>585</v>
      </c>
      <c r="L105">
        <v>86</v>
      </c>
    </row>
    <row r="106" spans="1:13" x14ac:dyDescent="0.35">
      <c r="A106" t="s">
        <v>807</v>
      </c>
      <c r="B106" t="s">
        <v>808</v>
      </c>
      <c r="C106" t="s">
        <v>266</v>
      </c>
      <c r="D106" s="8">
        <v>46052</v>
      </c>
      <c r="E106" s="8">
        <v>46067</v>
      </c>
      <c r="F106" s="8">
        <v>46077</v>
      </c>
      <c r="G106" t="s">
        <v>580</v>
      </c>
      <c r="H106" s="6">
        <v>12054</v>
      </c>
      <c r="I106" s="6">
        <v>5923</v>
      </c>
      <c r="J106" s="6">
        <v>5818</v>
      </c>
      <c r="K106" t="s">
        <v>581</v>
      </c>
      <c r="L106">
        <v>10</v>
      </c>
    </row>
    <row r="107" spans="1:13" x14ac:dyDescent="0.35">
      <c r="A107" t="s">
        <v>809</v>
      </c>
      <c r="B107" t="s">
        <v>810</v>
      </c>
      <c r="C107" t="s">
        <v>372</v>
      </c>
      <c r="D107" s="8">
        <v>46115</v>
      </c>
      <c r="E107" s="8">
        <v>46130</v>
      </c>
      <c r="F107" s="8">
        <v>46143</v>
      </c>
      <c r="G107" t="s">
        <v>580</v>
      </c>
      <c r="H107" s="6">
        <v>1442</v>
      </c>
      <c r="I107" s="6">
        <v>936</v>
      </c>
      <c r="J107" s="6">
        <v>894</v>
      </c>
      <c r="K107" t="s">
        <v>581</v>
      </c>
      <c r="L107">
        <v>13</v>
      </c>
    </row>
    <row r="108" spans="1:13" x14ac:dyDescent="0.35">
      <c r="A108" t="s">
        <v>811</v>
      </c>
      <c r="B108" t="s">
        <v>812</v>
      </c>
      <c r="C108" t="s">
        <v>496</v>
      </c>
      <c r="D108" s="8">
        <v>46119</v>
      </c>
      <c r="E108" s="8">
        <v>46130</v>
      </c>
      <c r="G108" t="s">
        <v>584</v>
      </c>
      <c r="H108" s="6">
        <v>14626</v>
      </c>
      <c r="I108" s="6">
        <v>11896</v>
      </c>
      <c r="J108" s="6">
        <v>0</v>
      </c>
      <c r="K108" t="s">
        <v>585</v>
      </c>
      <c r="L108">
        <v>40</v>
      </c>
    </row>
    <row r="109" spans="1:13" x14ac:dyDescent="0.35">
      <c r="A109" t="s">
        <v>813</v>
      </c>
      <c r="B109" t="s">
        <v>814</v>
      </c>
      <c r="C109" t="s">
        <v>458</v>
      </c>
      <c r="D109" s="8">
        <v>46105</v>
      </c>
      <c r="E109" s="8">
        <v>46120</v>
      </c>
      <c r="F109" s="8">
        <v>46142</v>
      </c>
      <c r="G109" t="s">
        <v>588</v>
      </c>
      <c r="H109" s="6">
        <v>11550</v>
      </c>
      <c r="I109" s="6">
        <v>6672</v>
      </c>
      <c r="J109" s="6">
        <v>6609</v>
      </c>
      <c r="K109" t="s">
        <v>581</v>
      </c>
      <c r="L109">
        <v>22</v>
      </c>
    </row>
    <row r="110" spans="1:13" x14ac:dyDescent="0.35">
      <c r="A110" t="s">
        <v>815</v>
      </c>
      <c r="B110" t="s">
        <v>816</v>
      </c>
      <c r="C110" t="s">
        <v>215</v>
      </c>
      <c r="D110" s="8">
        <v>46034</v>
      </c>
      <c r="E110" s="8">
        <v>46049</v>
      </c>
      <c r="F110" s="8">
        <v>46073</v>
      </c>
      <c r="G110" t="s">
        <v>580</v>
      </c>
      <c r="H110" s="6">
        <v>6211</v>
      </c>
      <c r="I110" s="6">
        <v>3370</v>
      </c>
      <c r="J110" s="6">
        <v>3330</v>
      </c>
      <c r="K110" t="s">
        <v>581</v>
      </c>
      <c r="L110">
        <v>24</v>
      </c>
    </row>
    <row r="111" spans="1:13" x14ac:dyDescent="0.35">
      <c r="A111" t="s">
        <v>817</v>
      </c>
      <c r="B111" t="s">
        <v>818</v>
      </c>
      <c r="C111" t="s">
        <v>106</v>
      </c>
      <c r="D111" s="8">
        <v>46072</v>
      </c>
      <c r="E111" s="8">
        <v>46084</v>
      </c>
      <c r="F111" s="8">
        <v>46100</v>
      </c>
      <c r="G111" t="s">
        <v>580</v>
      </c>
      <c r="H111" s="6">
        <v>16439</v>
      </c>
      <c r="I111" s="6">
        <v>12703</v>
      </c>
      <c r="J111" s="6">
        <v>12499</v>
      </c>
      <c r="K111" t="s">
        <v>581</v>
      </c>
      <c r="L111">
        <v>16</v>
      </c>
    </row>
    <row r="112" spans="1:13" x14ac:dyDescent="0.35">
      <c r="A112" t="s">
        <v>819</v>
      </c>
      <c r="B112" t="s">
        <v>820</v>
      </c>
      <c r="C112" t="s">
        <v>535</v>
      </c>
      <c r="D112" s="8">
        <v>46054</v>
      </c>
      <c r="E112" s="8">
        <v>46069</v>
      </c>
      <c r="G112" t="s">
        <v>580</v>
      </c>
      <c r="H112" s="6">
        <v>15219</v>
      </c>
      <c r="I112" s="6">
        <v>9183</v>
      </c>
      <c r="J112" s="6">
        <v>0</v>
      </c>
      <c r="K112" t="s">
        <v>585</v>
      </c>
      <c r="L112">
        <v>101</v>
      </c>
    </row>
    <row r="113" spans="1:13" x14ac:dyDescent="0.35">
      <c r="A113" t="s">
        <v>821</v>
      </c>
      <c r="B113" t="s">
        <v>822</v>
      </c>
      <c r="C113" t="s">
        <v>448</v>
      </c>
      <c r="D113" s="8">
        <v>46102</v>
      </c>
      <c r="E113" s="8">
        <v>46119</v>
      </c>
      <c r="F113" s="8">
        <v>46132</v>
      </c>
      <c r="G113" t="s">
        <v>596</v>
      </c>
      <c r="H113" s="6">
        <v>16646</v>
      </c>
      <c r="I113" s="6">
        <v>11584</v>
      </c>
      <c r="J113" s="6">
        <v>11582</v>
      </c>
      <c r="K113" t="s">
        <v>581</v>
      </c>
      <c r="L113">
        <v>13</v>
      </c>
    </row>
    <row r="114" spans="1:13" x14ac:dyDescent="0.35">
      <c r="A114" t="s">
        <v>823</v>
      </c>
      <c r="B114" t="s">
        <v>824</v>
      </c>
      <c r="C114" t="s">
        <v>322</v>
      </c>
      <c r="D114" s="8">
        <v>46153</v>
      </c>
      <c r="E114" s="8">
        <v>46162</v>
      </c>
      <c r="F114" s="8">
        <v>46169</v>
      </c>
      <c r="G114" t="s">
        <v>593</v>
      </c>
      <c r="H114" s="6">
        <v>15460</v>
      </c>
      <c r="I114" s="6">
        <v>11183</v>
      </c>
      <c r="J114" s="6">
        <v>11090</v>
      </c>
      <c r="K114" t="s">
        <v>581</v>
      </c>
      <c r="L114">
        <v>7</v>
      </c>
    </row>
    <row r="115" spans="1:13" x14ac:dyDescent="0.35">
      <c r="A115" t="s">
        <v>825</v>
      </c>
      <c r="B115" t="s">
        <v>826</v>
      </c>
      <c r="C115" t="s">
        <v>488</v>
      </c>
      <c r="D115" s="8">
        <v>46048</v>
      </c>
      <c r="E115" s="8">
        <v>46051</v>
      </c>
      <c r="F115" s="8">
        <v>46067</v>
      </c>
      <c r="G115" t="s">
        <v>596</v>
      </c>
      <c r="H115" s="6">
        <v>17283</v>
      </c>
      <c r="I115" s="6">
        <v>7839</v>
      </c>
      <c r="J115" s="6">
        <v>7502</v>
      </c>
      <c r="K115" t="s">
        <v>581</v>
      </c>
      <c r="L115">
        <v>16</v>
      </c>
    </row>
    <row r="116" spans="1:13" x14ac:dyDescent="0.35">
      <c r="A116" t="s">
        <v>827</v>
      </c>
      <c r="B116" t="s">
        <v>828</v>
      </c>
      <c r="C116" t="s">
        <v>319</v>
      </c>
      <c r="D116" s="8">
        <v>46069</v>
      </c>
      <c r="E116" s="8">
        <v>46087</v>
      </c>
      <c r="F116" s="8">
        <v>46102</v>
      </c>
      <c r="G116" t="s">
        <v>580</v>
      </c>
      <c r="H116" s="6">
        <v>892</v>
      </c>
      <c r="I116" s="6">
        <v>442</v>
      </c>
      <c r="J116" s="6">
        <v>422</v>
      </c>
      <c r="K116" t="s">
        <v>581</v>
      </c>
      <c r="L116">
        <v>15</v>
      </c>
    </row>
    <row r="117" spans="1:13" x14ac:dyDescent="0.35">
      <c r="A117" t="s">
        <v>829</v>
      </c>
      <c r="B117" t="s">
        <v>830</v>
      </c>
      <c r="C117" t="s">
        <v>161</v>
      </c>
      <c r="D117" s="8">
        <v>46151</v>
      </c>
      <c r="E117" s="8">
        <v>46159</v>
      </c>
      <c r="F117" s="8">
        <v>46165</v>
      </c>
      <c r="G117" t="s">
        <v>584</v>
      </c>
      <c r="H117" s="6">
        <v>3173</v>
      </c>
      <c r="I117" s="6">
        <v>2271</v>
      </c>
      <c r="J117" s="6">
        <v>2248</v>
      </c>
      <c r="K117" t="s">
        <v>581</v>
      </c>
      <c r="L117">
        <v>6</v>
      </c>
    </row>
    <row r="118" spans="1:13" x14ac:dyDescent="0.35">
      <c r="A118" t="s">
        <v>831</v>
      </c>
      <c r="B118" t="s">
        <v>832</v>
      </c>
      <c r="C118" t="s">
        <v>260</v>
      </c>
      <c r="D118" s="8">
        <v>46075</v>
      </c>
      <c r="E118" s="8">
        <v>46078</v>
      </c>
      <c r="F118" s="8">
        <v>46099</v>
      </c>
      <c r="G118" t="s">
        <v>588</v>
      </c>
      <c r="H118" s="6">
        <v>10249</v>
      </c>
      <c r="I118" s="6">
        <v>5275</v>
      </c>
      <c r="J118" s="6">
        <v>5057</v>
      </c>
      <c r="K118" t="s">
        <v>581</v>
      </c>
      <c r="L118">
        <v>21</v>
      </c>
    </row>
    <row r="119" spans="1:13" x14ac:dyDescent="0.35">
      <c r="A119" t="s">
        <v>833</v>
      </c>
      <c r="B119" t="s">
        <v>834</v>
      </c>
      <c r="C119" t="s">
        <v>161</v>
      </c>
      <c r="D119" s="8">
        <v>46144</v>
      </c>
      <c r="E119" s="8">
        <v>46162</v>
      </c>
      <c r="G119" t="s">
        <v>584</v>
      </c>
      <c r="H119" s="6">
        <v>14332</v>
      </c>
      <c r="I119" s="6">
        <v>8497</v>
      </c>
      <c r="J119" s="6">
        <v>0</v>
      </c>
      <c r="K119" t="s">
        <v>585</v>
      </c>
      <c r="L119">
        <v>8</v>
      </c>
    </row>
    <row r="120" spans="1:13" x14ac:dyDescent="0.35">
      <c r="A120" t="s">
        <v>835</v>
      </c>
      <c r="B120" t="s">
        <v>836</v>
      </c>
      <c r="C120" t="s">
        <v>215</v>
      </c>
      <c r="D120" s="8">
        <v>46093</v>
      </c>
      <c r="E120" s="8">
        <v>46102</v>
      </c>
      <c r="F120" s="8">
        <v>46112</v>
      </c>
      <c r="G120" t="s">
        <v>588</v>
      </c>
      <c r="H120" s="6">
        <v>3607</v>
      </c>
      <c r="I120" s="6">
        <v>2695</v>
      </c>
      <c r="J120" s="6">
        <v>2661</v>
      </c>
      <c r="K120" t="s">
        <v>581</v>
      </c>
      <c r="L120">
        <v>10</v>
      </c>
    </row>
    <row r="121" spans="1:13" x14ac:dyDescent="0.35">
      <c r="A121" t="s">
        <v>837</v>
      </c>
      <c r="B121" t="s">
        <v>838</v>
      </c>
      <c r="C121" t="s">
        <v>416</v>
      </c>
      <c r="D121" s="8">
        <v>46150</v>
      </c>
      <c r="E121" s="8">
        <v>46160</v>
      </c>
      <c r="F121" s="8">
        <v>46165</v>
      </c>
      <c r="G121" t="s">
        <v>588</v>
      </c>
      <c r="H121" s="6">
        <v>5858</v>
      </c>
      <c r="I121" s="6">
        <v>4619</v>
      </c>
      <c r="J121" s="6">
        <v>4496</v>
      </c>
      <c r="K121" t="s">
        <v>581</v>
      </c>
      <c r="L121">
        <v>5</v>
      </c>
    </row>
    <row r="122" spans="1:13" x14ac:dyDescent="0.35">
      <c r="A122" t="s">
        <v>839</v>
      </c>
      <c r="B122" t="s">
        <v>840</v>
      </c>
      <c r="C122" t="s">
        <v>513</v>
      </c>
      <c r="D122" s="8">
        <v>46016</v>
      </c>
      <c r="E122" s="8">
        <v>46033</v>
      </c>
      <c r="F122" s="8">
        <v>46040</v>
      </c>
      <c r="G122" t="s">
        <v>580</v>
      </c>
      <c r="H122" s="6">
        <v>11343</v>
      </c>
      <c r="I122" s="6">
        <v>8938</v>
      </c>
      <c r="J122" s="6">
        <v>0</v>
      </c>
      <c r="K122" t="s">
        <v>653</v>
      </c>
      <c r="L122">
        <v>7</v>
      </c>
      <c r="M122" t="s">
        <v>741</v>
      </c>
    </row>
    <row r="123" spans="1:13" x14ac:dyDescent="0.35">
      <c r="A123" t="s">
        <v>841</v>
      </c>
      <c r="B123" t="s">
        <v>842</v>
      </c>
      <c r="C123" t="s">
        <v>519</v>
      </c>
      <c r="D123" s="8">
        <v>46109</v>
      </c>
      <c r="E123" s="8">
        <v>46118</v>
      </c>
      <c r="F123" s="8">
        <v>46123</v>
      </c>
      <c r="G123" t="s">
        <v>580</v>
      </c>
      <c r="H123" s="6">
        <v>576</v>
      </c>
      <c r="I123" s="6">
        <v>471</v>
      </c>
      <c r="J123" s="6">
        <v>458</v>
      </c>
      <c r="K123" t="s">
        <v>581</v>
      </c>
      <c r="L123">
        <v>5</v>
      </c>
    </row>
    <row r="124" spans="1:13" x14ac:dyDescent="0.35">
      <c r="A124" t="s">
        <v>843</v>
      </c>
      <c r="B124" t="s">
        <v>844</v>
      </c>
      <c r="C124" t="s">
        <v>383</v>
      </c>
      <c r="D124" s="8">
        <v>46125</v>
      </c>
      <c r="E124" s="8">
        <v>46128</v>
      </c>
      <c r="F124" s="8">
        <v>46148</v>
      </c>
      <c r="G124" t="s">
        <v>580</v>
      </c>
      <c r="H124" s="6">
        <v>12847</v>
      </c>
      <c r="I124" s="6">
        <v>8596</v>
      </c>
      <c r="J124" s="6">
        <v>8338</v>
      </c>
      <c r="K124" t="s">
        <v>581</v>
      </c>
      <c r="L124">
        <v>20</v>
      </c>
    </row>
    <row r="125" spans="1:13" x14ac:dyDescent="0.35">
      <c r="A125" t="s">
        <v>845</v>
      </c>
      <c r="B125" t="s">
        <v>846</v>
      </c>
      <c r="C125" t="s">
        <v>437</v>
      </c>
      <c r="D125" s="8">
        <v>46065</v>
      </c>
      <c r="E125" s="8">
        <v>46083</v>
      </c>
      <c r="F125" s="8">
        <v>46093</v>
      </c>
      <c r="G125" t="s">
        <v>593</v>
      </c>
      <c r="H125" s="6">
        <v>16452</v>
      </c>
      <c r="I125" s="6">
        <v>7942</v>
      </c>
      <c r="J125" s="6">
        <v>7891</v>
      </c>
      <c r="K125" t="s">
        <v>581</v>
      </c>
      <c r="L125">
        <v>10</v>
      </c>
    </row>
    <row r="126" spans="1:13" x14ac:dyDescent="0.35">
      <c r="A126" t="s">
        <v>847</v>
      </c>
      <c r="B126" t="s">
        <v>848</v>
      </c>
      <c r="C126" t="s">
        <v>473</v>
      </c>
      <c r="D126" s="8">
        <v>46052</v>
      </c>
      <c r="E126" s="8">
        <v>46057</v>
      </c>
      <c r="F126" s="8">
        <v>46062</v>
      </c>
      <c r="G126" t="s">
        <v>593</v>
      </c>
      <c r="H126" s="6">
        <v>6535</v>
      </c>
      <c r="I126" s="6">
        <v>5413</v>
      </c>
      <c r="J126" s="6">
        <v>5266</v>
      </c>
      <c r="K126" t="s">
        <v>581</v>
      </c>
      <c r="L126">
        <v>5</v>
      </c>
    </row>
    <row r="127" spans="1:13" x14ac:dyDescent="0.35">
      <c r="A127" t="s">
        <v>849</v>
      </c>
      <c r="B127" t="s">
        <v>850</v>
      </c>
      <c r="C127" t="s">
        <v>272</v>
      </c>
      <c r="D127" s="8">
        <v>46085</v>
      </c>
      <c r="E127" s="8">
        <v>46095</v>
      </c>
      <c r="F127" s="8">
        <v>46103</v>
      </c>
      <c r="G127" t="s">
        <v>580</v>
      </c>
      <c r="H127" s="6">
        <v>6106</v>
      </c>
      <c r="I127" s="6">
        <v>3766</v>
      </c>
      <c r="J127" s="6">
        <v>3658</v>
      </c>
      <c r="K127" t="s">
        <v>581</v>
      </c>
      <c r="L127">
        <v>8</v>
      </c>
    </row>
    <row r="128" spans="1:13" x14ac:dyDescent="0.35">
      <c r="A128" t="s">
        <v>851</v>
      </c>
      <c r="B128" t="s">
        <v>852</v>
      </c>
      <c r="C128" t="s">
        <v>445</v>
      </c>
      <c r="D128" s="8">
        <v>46103</v>
      </c>
      <c r="E128" s="8">
        <v>46119</v>
      </c>
      <c r="G128" t="s">
        <v>580</v>
      </c>
      <c r="H128" s="6">
        <v>8110</v>
      </c>
      <c r="I128" s="6">
        <v>4676</v>
      </c>
      <c r="J128" s="6">
        <v>0</v>
      </c>
      <c r="K128" t="s">
        <v>585</v>
      </c>
      <c r="L128">
        <v>51</v>
      </c>
    </row>
    <row r="129" spans="1:13" x14ac:dyDescent="0.35">
      <c r="A129" t="s">
        <v>853</v>
      </c>
      <c r="B129" t="s">
        <v>854</v>
      </c>
      <c r="C129" t="s">
        <v>404</v>
      </c>
      <c r="D129" s="8">
        <v>46023</v>
      </c>
      <c r="E129" s="8">
        <v>46032</v>
      </c>
      <c r="G129" t="s">
        <v>593</v>
      </c>
      <c r="H129" s="6">
        <v>14001</v>
      </c>
      <c r="I129" s="6">
        <v>11009</v>
      </c>
      <c r="J129" s="6">
        <v>0</v>
      </c>
      <c r="K129" t="s">
        <v>671</v>
      </c>
      <c r="L129">
        <v>138</v>
      </c>
      <c r="M129" t="s">
        <v>855</v>
      </c>
    </row>
    <row r="130" spans="1:13" x14ac:dyDescent="0.35">
      <c r="A130" t="s">
        <v>856</v>
      </c>
      <c r="B130" t="s">
        <v>857</v>
      </c>
      <c r="C130" t="s">
        <v>212</v>
      </c>
      <c r="D130" s="8">
        <v>46134</v>
      </c>
      <c r="E130" s="8">
        <v>46144</v>
      </c>
      <c r="F130" s="8">
        <v>46149</v>
      </c>
      <c r="G130" t="s">
        <v>596</v>
      </c>
      <c r="H130" s="6">
        <v>11047</v>
      </c>
      <c r="I130" s="6">
        <v>7715</v>
      </c>
      <c r="J130" s="6">
        <v>7449</v>
      </c>
      <c r="K130" t="s">
        <v>581</v>
      </c>
      <c r="L130">
        <v>5</v>
      </c>
    </row>
    <row r="131" spans="1:13" x14ac:dyDescent="0.35">
      <c r="A131" t="s">
        <v>858</v>
      </c>
      <c r="B131" t="s">
        <v>859</v>
      </c>
      <c r="C131" t="s">
        <v>413</v>
      </c>
      <c r="D131" s="8">
        <v>46056</v>
      </c>
      <c r="E131" s="8">
        <v>46069</v>
      </c>
      <c r="F131" s="8">
        <v>46091</v>
      </c>
      <c r="G131" t="s">
        <v>584</v>
      </c>
      <c r="H131" s="6">
        <v>9614</v>
      </c>
      <c r="I131" s="6">
        <v>8103</v>
      </c>
      <c r="J131" s="6">
        <v>7735</v>
      </c>
      <c r="K131" t="s">
        <v>581</v>
      </c>
      <c r="L131">
        <v>22</v>
      </c>
    </row>
    <row r="132" spans="1:13" x14ac:dyDescent="0.35">
      <c r="A132" t="s">
        <v>860</v>
      </c>
      <c r="B132" t="s">
        <v>861</v>
      </c>
      <c r="C132" t="s">
        <v>496</v>
      </c>
      <c r="D132" s="8">
        <v>46010</v>
      </c>
      <c r="E132" s="8">
        <v>46020</v>
      </c>
      <c r="F132" s="8">
        <v>46029</v>
      </c>
      <c r="G132" t="s">
        <v>593</v>
      </c>
      <c r="H132" s="6">
        <v>16127</v>
      </c>
      <c r="I132" s="6">
        <v>7871</v>
      </c>
      <c r="J132" s="6">
        <v>0</v>
      </c>
      <c r="K132" t="s">
        <v>653</v>
      </c>
      <c r="L132">
        <v>9</v>
      </c>
      <c r="M132" t="s">
        <v>741</v>
      </c>
    </row>
    <row r="133" spans="1:13" x14ac:dyDescent="0.35">
      <c r="A133" t="s">
        <v>862</v>
      </c>
      <c r="B133" t="s">
        <v>863</v>
      </c>
      <c r="C133" t="s">
        <v>558</v>
      </c>
      <c r="D133" s="8">
        <v>46133</v>
      </c>
      <c r="E133" s="8">
        <v>46140</v>
      </c>
      <c r="F133" s="8">
        <v>46149</v>
      </c>
      <c r="G133" t="s">
        <v>593</v>
      </c>
      <c r="H133" s="6">
        <v>13721</v>
      </c>
      <c r="I133" s="6">
        <v>9049</v>
      </c>
      <c r="J133" s="6">
        <v>8744</v>
      </c>
      <c r="K133" t="s">
        <v>581</v>
      </c>
      <c r="L133">
        <v>9</v>
      </c>
    </row>
    <row r="134" spans="1:13" x14ac:dyDescent="0.35">
      <c r="A134" t="s">
        <v>864</v>
      </c>
      <c r="B134" t="s">
        <v>865</v>
      </c>
      <c r="C134" t="s">
        <v>255</v>
      </c>
      <c r="D134" s="8">
        <v>46096</v>
      </c>
      <c r="E134" s="8">
        <v>46112</v>
      </c>
      <c r="G134" t="s">
        <v>596</v>
      </c>
      <c r="H134" s="6">
        <v>17515</v>
      </c>
      <c r="I134" s="6">
        <v>14284</v>
      </c>
      <c r="J134" s="6">
        <v>0</v>
      </c>
      <c r="K134" t="s">
        <v>585</v>
      </c>
      <c r="L134">
        <v>58</v>
      </c>
    </row>
    <row r="135" spans="1:13" x14ac:dyDescent="0.35">
      <c r="A135" t="s">
        <v>866</v>
      </c>
      <c r="B135" t="s">
        <v>867</v>
      </c>
      <c r="C135" t="s">
        <v>342</v>
      </c>
      <c r="D135" s="8">
        <v>46011</v>
      </c>
      <c r="E135" s="8">
        <v>46016</v>
      </c>
      <c r="F135" s="8">
        <v>46037</v>
      </c>
      <c r="G135" t="s">
        <v>596</v>
      </c>
      <c r="H135" s="6">
        <v>11951</v>
      </c>
      <c r="I135" s="6">
        <v>8537</v>
      </c>
      <c r="J135" s="6">
        <v>8185</v>
      </c>
      <c r="K135" t="s">
        <v>581</v>
      </c>
      <c r="L135">
        <v>21</v>
      </c>
    </row>
    <row r="136" spans="1:13" x14ac:dyDescent="0.35">
      <c r="A136" t="s">
        <v>868</v>
      </c>
      <c r="B136" t="s">
        <v>869</v>
      </c>
      <c r="C136" t="s">
        <v>485</v>
      </c>
      <c r="D136" s="8">
        <v>46010</v>
      </c>
      <c r="E136" s="8">
        <v>46014</v>
      </c>
      <c r="F136" s="8">
        <v>46037</v>
      </c>
      <c r="G136" t="s">
        <v>593</v>
      </c>
      <c r="H136" s="6">
        <v>7926</v>
      </c>
      <c r="I136" s="6">
        <v>4035</v>
      </c>
      <c r="J136" s="6">
        <v>4010</v>
      </c>
      <c r="K136" t="s">
        <v>581</v>
      </c>
      <c r="L136">
        <v>23</v>
      </c>
    </row>
    <row r="137" spans="1:13" x14ac:dyDescent="0.35">
      <c r="A137" t="s">
        <v>870</v>
      </c>
      <c r="B137" t="s">
        <v>871</v>
      </c>
      <c r="C137" t="s">
        <v>483</v>
      </c>
      <c r="D137" s="8">
        <v>46122</v>
      </c>
      <c r="E137" s="8">
        <v>46126</v>
      </c>
      <c r="G137" t="s">
        <v>584</v>
      </c>
      <c r="H137" s="6">
        <v>14149</v>
      </c>
      <c r="I137" s="6">
        <v>9184</v>
      </c>
      <c r="J137" s="6">
        <v>0</v>
      </c>
      <c r="K137" t="s">
        <v>585</v>
      </c>
      <c r="L137">
        <v>44</v>
      </c>
    </row>
    <row r="138" spans="1:13" x14ac:dyDescent="0.35">
      <c r="A138" t="s">
        <v>872</v>
      </c>
      <c r="B138" t="s">
        <v>873</v>
      </c>
      <c r="C138" t="s">
        <v>246</v>
      </c>
      <c r="D138" s="8">
        <v>46033</v>
      </c>
      <c r="E138" s="8">
        <v>46043</v>
      </c>
      <c r="F138" s="8">
        <v>46050</v>
      </c>
      <c r="G138" t="s">
        <v>580</v>
      </c>
      <c r="H138" s="6">
        <v>9042</v>
      </c>
      <c r="I138" s="6">
        <v>6002</v>
      </c>
      <c r="J138" s="6">
        <v>0</v>
      </c>
      <c r="K138" t="s">
        <v>653</v>
      </c>
      <c r="L138">
        <v>7</v>
      </c>
      <c r="M138" t="s">
        <v>874</v>
      </c>
    </row>
    <row r="139" spans="1:13" x14ac:dyDescent="0.35">
      <c r="A139" t="s">
        <v>875</v>
      </c>
      <c r="B139" t="s">
        <v>876</v>
      </c>
      <c r="C139" t="s">
        <v>339</v>
      </c>
      <c r="D139" s="8">
        <v>46083</v>
      </c>
      <c r="E139" s="8">
        <v>46090</v>
      </c>
      <c r="F139" s="8">
        <v>46128</v>
      </c>
      <c r="G139" t="s">
        <v>593</v>
      </c>
      <c r="H139" s="6">
        <v>17111</v>
      </c>
      <c r="I139" s="6">
        <v>12855</v>
      </c>
      <c r="J139" s="6">
        <v>563</v>
      </c>
      <c r="K139" t="s">
        <v>607</v>
      </c>
      <c r="L139">
        <v>80</v>
      </c>
      <c r="M139" t="s">
        <v>767</v>
      </c>
    </row>
    <row r="140" spans="1:13" x14ac:dyDescent="0.35">
      <c r="A140" t="s">
        <v>877</v>
      </c>
      <c r="B140" t="s">
        <v>878</v>
      </c>
      <c r="C140" t="s">
        <v>380</v>
      </c>
      <c r="D140" s="8">
        <v>46063</v>
      </c>
      <c r="E140" s="8">
        <v>46081</v>
      </c>
      <c r="F140" s="8">
        <v>46088</v>
      </c>
      <c r="G140" t="s">
        <v>580</v>
      </c>
      <c r="H140" s="6">
        <v>14360</v>
      </c>
      <c r="I140" s="6">
        <v>11206</v>
      </c>
      <c r="J140" s="6">
        <v>11051</v>
      </c>
      <c r="K140" t="s">
        <v>581</v>
      </c>
      <c r="L140">
        <v>7</v>
      </c>
    </row>
    <row r="141" spans="1:13" x14ac:dyDescent="0.35">
      <c r="A141" t="s">
        <v>879</v>
      </c>
      <c r="B141" t="s">
        <v>880</v>
      </c>
      <c r="C141" t="s">
        <v>466</v>
      </c>
      <c r="D141" s="8">
        <v>46010</v>
      </c>
      <c r="E141" s="8">
        <v>46021</v>
      </c>
      <c r="G141" t="s">
        <v>596</v>
      </c>
      <c r="H141" s="6">
        <v>5032</v>
      </c>
      <c r="I141" s="6">
        <v>2338</v>
      </c>
      <c r="J141" s="6">
        <v>0</v>
      </c>
      <c r="K141" t="s">
        <v>585</v>
      </c>
      <c r="L141">
        <v>149</v>
      </c>
    </row>
    <row r="142" spans="1:13" x14ac:dyDescent="0.35">
      <c r="A142" t="s">
        <v>881</v>
      </c>
      <c r="B142" t="s">
        <v>882</v>
      </c>
      <c r="C142" t="s">
        <v>42</v>
      </c>
      <c r="D142" s="8">
        <v>46032</v>
      </c>
      <c r="E142" s="8">
        <v>46041</v>
      </c>
      <c r="F142" s="8">
        <v>46066</v>
      </c>
      <c r="G142" t="s">
        <v>593</v>
      </c>
      <c r="H142" s="6">
        <v>13700</v>
      </c>
      <c r="I142" s="6">
        <v>8117</v>
      </c>
      <c r="J142" s="6">
        <v>319</v>
      </c>
      <c r="K142" t="s">
        <v>607</v>
      </c>
      <c r="L142">
        <v>129</v>
      </c>
      <c r="M142" t="s">
        <v>608</v>
      </c>
    </row>
    <row r="143" spans="1:13" x14ac:dyDescent="0.35">
      <c r="A143" t="s">
        <v>883</v>
      </c>
      <c r="B143" t="s">
        <v>884</v>
      </c>
      <c r="C143" t="s">
        <v>163</v>
      </c>
      <c r="D143" s="8">
        <v>46090</v>
      </c>
      <c r="E143" s="8">
        <v>46093</v>
      </c>
      <c r="F143" s="8">
        <v>46108</v>
      </c>
      <c r="G143" t="s">
        <v>593</v>
      </c>
      <c r="H143" s="6">
        <v>9962</v>
      </c>
      <c r="I143" s="6">
        <v>8186</v>
      </c>
      <c r="J143" s="6">
        <v>0</v>
      </c>
      <c r="K143" t="s">
        <v>653</v>
      </c>
      <c r="L143">
        <v>15</v>
      </c>
      <c r="M143" t="s">
        <v>732</v>
      </c>
    </row>
    <row r="144" spans="1:13" x14ac:dyDescent="0.35">
      <c r="A144" t="s">
        <v>885</v>
      </c>
      <c r="B144" t="s">
        <v>886</v>
      </c>
      <c r="C144" t="s">
        <v>372</v>
      </c>
      <c r="D144" s="8">
        <v>46068</v>
      </c>
      <c r="E144" s="8">
        <v>46083</v>
      </c>
      <c r="F144" s="8">
        <v>46093</v>
      </c>
      <c r="G144" t="s">
        <v>584</v>
      </c>
      <c r="H144" s="6">
        <v>175</v>
      </c>
      <c r="I144" s="6">
        <v>92</v>
      </c>
      <c r="J144" s="6">
        <v>91</v>
      </c>
      <c r="K144" t="s">
        <v>581</v>
      </c>
      <c r="L144">
        <v>10</v>
      </c>
    </row>
    <row r="145" spans="1:13" x14ac:dyDescent="0.35">
      <c r="A145" t="s">
        <v>887</v>
      </c>
      <c r="B145" t="s">
        <v>888</v>
      </c>
      <c r="C145" t="s">
        <v>126</v>
      </c>
      <c r="D145" s="8">
        <v>46090</v>
      </c>
      <c r="E145" s="8">
        <v>46094</v>
      </c>
      <c r="G145" t="s">
        <v>580</v>
      </c>
      <c r="H145" s="6">
        <v>9009</v>
      </c>
      <c r="I145" s="6">
        <v>7272</v>
      </c>
      <c r="J145" s="6">
        <v>0</v>
      </c>
      <c r="K145" t="s">
        <v>585</v>
      </c>
      <c r="L145">
        <v>76</v>
      </c>
    </row>
    <row r="146" spans="1:13" x14ac:dyDescent="0.35">
      <c r="A146" t="s">
        <v>889</v>
      </c>
      <c r="B146" t="s">
        <v>890</v>
      </c>
      <c r="C146" t="s">
        <v>377</v>
      </c>
      <c r="D146" s="8">
        <v>46092</v>
      </c>
      <c r="E146" s="8">
        <v>46109</v>
      </c>
      <c r="F146" s="8">
        <v>46118</v>
      </c>
      <c r="G146" t="s">
        <v>580</v>
      </c>
      <c r="H146" s="6">
        <v>9690</v>
      </c>
      <c r="I146" s="6">
        <v>4817</v>
      </c>
      <c r="J146" s="6">
        <v>4587</v>
      </c>
      <c r="K146" t="s">
        <v>581</v>
      </c>
      <c r="L146">
        <v>9</v>
      </c>
    </row>
    <row r="147" spans="1:13" x14ac:dyDescent="0.35">
      <c r="A147" t="s">
        <v>891</v>
      </c>
      <c r="B147" t="s">
        <v>892</v>
      </c>
      <c r="C147" t="s">
        <v>215</v>
      </c>
      <c r="D147" s="8">
        <v>46147</v>
      </c>
      <c r="E147" s="8">
        <v>46159</v>
      </c>
      <c r="F147" s="8">
        <v>46167</v>
      </c>
      <c r="G147" t="s">
        <v>593</v>
      </c>
      <c r="H147" s="6">
        <v>8380</v>
      </c>
      <c r="I147" s="6">
        <v>4584</v>
      </c>
      <c r="J147" s="6">
        <v>4558</v>
      </c>
      <c r="K147" t="s">
        <v>581</v>
      </c>
      <c r="L147">
        <v>8</v>
      </c>
    </row>
    <row r="148" spans="1:13" x14ac:dyDescent="0.35">
      <c r="A148" t="s">
        <v>893</v>
      </c>
      <c r="B148" t="s">
        <v>894</v>
      </c>
      <c r="C148" t="s">
        <v>383</v>
      </c>
      <c r="D148" s="8">
        <v>46045</v>
      </c>
      <c r="E148" s="8">
        <v>46057</v>
      </c>
      <c r="F148" s="8">
        <v>46079</v>
      </c>
      <c r="G148" t="s">
        <v>596</v>
      </c>
      <c r="H148" s="6">
        <v>12032</v>
      </c>
      <c r="I148" s="6">
        <v>5567</v>
      </c>
      <c r="J148" s="6">
        <v>5425</v>
      </c>
      <c r="K148" t="s">
        <v>581</v>
      </c>
      <c r="L148">
        <v>22</v>
      </c>
    </row>
    <row r="149" spans="1:13" x14ac:dyDescent="0.35">
      <c r="A149" t="s">
        <v>895</v>
      </c>
      <c r="B149" t="s">
        <v>896</v>
      </c>
      <c r="C149" t="s">
        <v>293</v>
      </c>
      <c r="D149" s="8">
        <v>46104</v>
      </c>
      <c r="E149" s="8">
        <v>46113</v>
      </c>
      <c r="F149" s="8">
        <v>46141</v>
      </c>
      <c r="G149" t="s">
        <v>593</v>
      </c>
      <c r="H149" s="6">
        <v>7269</v>
      </c>
      <c r="I149" s="6">
        <v>5117</v>
      </c>
      <c r="J149" s="6">
        <v>0</v>
      </c>
      <c r="K149" t="s">
        <v>653</v>
      </c>
      <c r="L149">
        <v>28</v>
      </c>
      <c r="M149" t="s">
        <v>654</v>
      </c>
    </row>
    <row r="150" spans="1:13" x14ac:dyDescent="0.35">
      <c r="A150" t="s">
        <v>897</v>
      </c>
      <c r="B150" t="s">
        <v>898</v>
      </c>
      <c r="C150" t="s">
        <v>198</v>
      </c>
      <c r="D150" s="8">
        <v>46089</v>
      </c>
      <c r="E150" s="8">
        <v>46092</v>
      </c>
      <c r="F150" s="8">
        <v>46113</v>
      </c>
      <c r="G150" t="s">
        <v>580</v>
      </c>
      <c r="H150" s="6">
        <v>12522</v>
      </c>
      <c r="I150" s="6">
        <v>10369</v>
      </c>
      <c r="J150" s="6">
        <v>0</v>
      </c>
      <c r="K150" t="s">
        <v>653</v>
      </c>
      <c r="L150">
        <v>21</v>
      </c>
      <c r="M150" t="s">
        <v>874</v>
      </c>
    </row>
    <row r="151" spans="1:13" x14ac:dyDescent="0.35">
      <c r="A151" t="s">
        <v>899</v>
      </c>
      <c r="B151" t="s">
        <v>900</v>
      </c>
      <c r="C151" t="s">
        <v>488</v>
      </c>
      <c r="D151" s="8">
        <v>46086</v>
      </c>
      <c r="E151" s="8">
        <v>46091</v>
      </c>
      <c r="F151" s="8">
        <v>46100</v>
      </c>
      <c r="G151" t="s">
        <v>593</v>
      </c>
      <c r="H151" s="6">
        <v>10010</v>
      </c>
      <c r="I151" s="6">
        <v>6977</v>
      </c>
      <c r="J151" s="6">
        <v>6924</v>
      </c>
      <c r="K151" t="s">
        <v>581</v>
      </c>
      <c r="L151">
        <v>9</v>
      </c>
    </row>
    <row r="152" spans="1:13" x14ac:dyDescent="0.35">
      <c r="A152" t="s">
        <v>901</v>
      </c>
      <c r="B152" t="s">
        <v>902</v>
      </c>
      <c r="C152" t="s">
        <v>42</v>
      </c>
      <c r="D152" s="8">
        <v>46116</v>
      </c>
      <c r="E152" s="8">
        <v>46131</v>
      </c>
      <c r="F152" s="8">
        <v>46149</v>
      </c>
      <c r="G152" t="s">
        <v>588</v>
      </c>
      <c r="H152" s="6">
        <v>8994</v>
      </c>
      <c r="I152" s="6">
        <v>5674</v>
      </c>
      <c r="J152" s="6">
        <v>5452</v>
      </c>
      <c r="K152" t="s">
        <v>581</v>
      </c>
      <c r="L152">
        <v>18</v>
      </c>
    </row>
    <row r="153" spans="1:13" x14ac:dyDescent="0.35">
      <c r="A153" t="s">
        <v>903</v>
      </c>
      <c r="B153" t="s">
        <v>904</v>
      </c>
      <c r="C153" t="s">
        <v>524</v>
      </c>
      <c r="D153" s="8">
        <v>46105</v>
      </c>
      <c r="E153" s="8">
        <v>46119</v>
      </c>
      <c r="F153" s="8">
        <v>46129</v>
      </c>
      <c r="G153" t="s">
        <v>596</v>
      </c>
      <c r="H153" s="6">
        <v>5752</v>
      </c>
      <c r="I153" s="6">
        <v>4329</v>
      </c>
      <c r="J153" s="6">
        <v>4137</v>
      </c>
      <c r="K153" t="s">
        <v>581</v>
      </c>
      <c r="L153">
        <v>10</v>
      </c>
    </row>
    <row r="154" spans="1:13" x14ac:dyDescent="0.35">
      <c r="A154" t="s">
        <v>905</v>
      </c>
      <c r="B154" t="s">
        <v>906</v>
      </c>
      <c r="C154" t="s">
        <v>410</v>
      </c>
      <c r="D154" s="8">
        <v>46067</v>
      </c>
      <c r="E154" s="8">
        <v>46076</v>
      </c>
      <c r="F154" s="8">
        <v>46089</v>
      </c>
      <c r="G154" t="s">
        <v>588</v>
      </c>
      <c r="H154" s="6">
        <v>1408</v>
      </c>
      <c r="I154" s="6">
        <v>1030</v>
      </c>
      <c r="J154" s="6">
        <v>1003</v>
      </c>
      <c r="K154" t="s">
        <v>581</v>
      </c>
      <c r="L154">
        <v>13</v>
      </c>
    </row>
    <row r="155" spans="1:13" x14ac:dyDescent="0.35">
      <c r="A155" t="s">
        <v>907</v>
      </c>
      <c r="B155" t="s">
        <v>908</v>
      </c>
      <c r="C155" t="s">
        <v>275</v>
      </c>
      <c r="D155" s="8">
        <v>46042</v>
      </c>
      <c r="E155" s="8">
        <v>46048</v>
      </c>
      <c r="G155" t="s">
        <v>588</v>
      </c>
      <c r="H155" s="6">
        <v>2594</v>
      </c>
      <c r="I155" s="6">
        <v>2159</v>
      </c>
      <c r="J155" s="6">
        <v>0</v>
      </c>
      <c r="K155" t="s">
        <v>585</v>
      </c>
      <c r="L155">
        <v>122</v>
      </c>
    </row>
    <row r="156" spans="1:13" x14ac:dyDescent="0.35">
      <c r="A156" t="s">
        <v>909</v>
      </c>
      <c r="B156" t="s">
        <v>910</v>
      </c>
      <c r="C156" t="s">
        <v>416</v>
      </c>
      <c r="D156" s="8">
        <v>46107</v>
      </c>
      <c r="E156" s="8">
        <v>46121</v>
      </c>
      <c r="F156" s="8">
        <v>46146</v>
      </c>
      <c r="G156" t="s">
        <v>580</v>
      </c>
      <c r="H156" s="6">
        <v>8530</v>
      </c>
      <c r="I156" s="6">
        <v>5493</v>
      </c>
      <c r="J156" s="6">
        <v>5236</v>
      </c>
      <c r="K156" t="s">
        <v>581</v>
      </c>
      <c r="L156">
        <v>25</v>
      </c>
    </row>
    <row r="157" spans="1:13" x14ac:dyDescent="0.35">
      <c r="A157" t="s">
        <v>911</v>
      </c>
      <c r="B157" t="s">
        <v>912</v>
      </c>
      <c r="C157" t="s">
        <v>204</v>
      </c>
      <c r="D157" s="8">
        <v>46102</v>
      </c>
      <c r="E157" s="8">
        <v>46112</v>
      </c>
      <c r="F157" s="8">
        <v>46118</v>
      </c>
      <c r="G157" t="s">
        <v>580</v>
      </c>
      <c r="H157" s="6">
        <v>5834</v>
      </c>
      <c r="I157" s="6">
        <v>4777</v>
      </c>
      <c r="J157" s="6">
        <v>4613</v>
      </c>
      <c r="K157" t="s">
        <v>581</v>
      </c>
      <c r="L157">
        <v>6</v>
      </c>
    </row>
    <row r="158" spans="1:13" x14ac:dyDescent="0.35">
      <c r="A158" t="s">
        <v>913</v>
      </c>
      <c r="B158" t="s">
        <v>914</v>
      </c>
      <c r="C158" t="s">
        <v>204</v>
      </c>
      <c r="D158" s="8">
        <v>46077</v>
      </c>
      <c r="E158" s="8">
        <v>46093</v>
      </c>
      <c r="F158" s="8">
        <v>46109</v>
      </c>
      <c r="G158" t="s">
        <v>596</v>
      </c>
      <c r="H158" s="6">
        <v>8396</v>
      </c>
      <c r="I158" s="6">
        <v>6328</v>
      </c>
      <c r="J158" s="6">
        <v>6084</v>
      </c>
      <c r="K158" t="s">
        <v>581</v>
      </c>
      <c r="L158">
        <v>16</v>
      </c>
    </row>
    <row r="159" spans="1:13" x14ac:dyDescent="0.35">
      <c r="A159" t="s">
        <v>915</v>
      </c>
      <c r="B159" t="s">
        <v>916</v>
      </c>
      <c r="C159" t="s">
        <v>421</v>
      </c>
      <c r="D159" s="8">
        <v>46136</v>
      </c>
      <c r="E159" s="8">
        <v>46140</v>
      </c>
      <c r="F159" s="8">
        <v>46160</v>
      </c>
      <c r="G159" t="s">
        <v>596</v>
      </c>
      <c r="H159" s="6">
        <v>10590</v>
      </c>
      <c r="I159" s="6">
        <v>5094</v>
      </c>
      <c r="J159" s="6">
        <v>4948</v>
      </c>
      <c r="K159" t="s">
        <v>581</v>
      </c>
      <c r="L159">
        <v>20</v>
      </c>
    </row>
    <row r="160" spans="1:13" x14ac:dyDescent="0.35">
      <c r="A160" t="s">
        <v>917</v>
      </c>
      <c r="B160" t="s">
        <v>918</v>
      </c>
      <c r="C160" t="s">
        <v>316</v>
      </c>
      <c r="D160" s="8">
        <v>46129</v>
      </c>
      <c r="E160" s="8">
        <v>46132</v>
      </c>
      <c r="G160" t="s">
        <v>588</v>
      </c>
      <c r="H160" s="6">
        <v>16014</v>
      </c>
      <c r="I160" s="6">
        <v>9482</v>
      </c>
      <c r="J160" s="6">
        <v>0</v>
      </c>
      <c r="K160" t="s">
        <v>671</v>
      </c>
      <c r="L160">
        <v>38</v>
      </c>
      <c r="M160" t="s">
        <v>855</v>
      </c>
    </row>
    <row r="161" spans="1:13" x14ac:dyDescent="0.35">
      <c r="A161" t="s">
        <v>919</v>
      </c>
      <c r="B161" t="s">
        <v>920</v>
      </c>
      <c r="C161" t="s">
        <v>72</v>
      </c>
      <c r="D161" s="8">
        <v>46027</v>
      </c>
      <c r="E161" s="8">
        <v>46043</v>
      </c>
      <c r="F161" s="8">
        <v>46056</v>
      </c>
      <c r="G161" t="s">
        <v>588</v>
      </c>
      <c r="H161" s="6">
        <v>13327</v>
      </c>
      <c r="I161" s="6">
        <v>9220</v>
      </c>
      <c r="J161" s="6">
        <v>8951</v>
      </c>
      <c r="K161" t="s">
        <v>581</v>
      </c>
      <c r="L161">
        <v>13</v>
      </c>
    </row>
    <row r="162" spans="1:13" x14ac:dyDescent="0.35">
      <c r="A162" t="s">
        <v>921</v>
      </c>
      <c r="B162" t="s">
        <v>922</v>
      </c>
      <c r="C162" t="s">
        <v>212</v>
      </c>
      <c r="D162" s="8">
        <v>46148</v>
      </c>
      <c r="E162" s="8">
        <v>46162</v>
      </c>
      <c r="G162" t="s">
        <v>593</v>
      </c>
      <c r="H162" s="6">
        <v>10483</v>
      </c>
      <c r="I162" s="6">
        <v>5492</v>
      </c>
      <c r="J162" s="6">
        <v>0</v>
      </c>
      <c r="K162" t="s">
        <v>585</v>
      </c>
      <c r="L162">
        <v>8</v>
      </c>
    </row>
    <row r="163" spans="1:13" x14ac:dyDescent="0.35">
      <c r="A163" t="s">
        <v>923</v>
      </c>
      <c r="B163" t="s">
        <v>924</v>
      </c>
      <c r="C163" t="s">
        <v>418</v>
      </c>
      <c r="D163" s="8">
        <v>46154</v>
      </c>
      <c r="E163" s="8">
        <v>46158</v>
      </c>
      <c r="F163" s="8">
        <v>46174</v>
      </c>
      <c r="G163" t="s">
        <v>584</v>
      </c>
      <c r="H163" s="6">
        <v>8148</v>
      </c>
      <c r="I163" s="6">
        <v>4865</v>
      </c>
      <c r="J163" s="6">
        <v>4645</v>
      </c>
      <c r="K163" t="s">
        <v>581</v>
      </c>
      <c r="L163">
        <v>16</v>
      </c>
    </row>
    <row r="164" spans="1:13" x14ac:dyDescent="0.35">
      <c r="A164" t="s">
        <v>925</v>
      </c>
      <c r="B164" t="s">
        <v>926</v>
      </c>
      <c r="C164" t="s">
        <v>519</v>
      </c>
      <c r="D164" s="8">
        <v>46023</v>
      </c>
      <c r="E164" s="8">
        <v>46041</v>
      </c>
      <c r="F164" s="8">
        <v>46065</v>
      </c>
      <c r="G164" t="s">
        <v>596</v>
      </c>
      <c r="H164" s="6">
        <v>1613</v>
      </c>
      <c r="I164" s="6">
        <v>1280</v>
      </c>
      <c r="J164" s="6">
        <v>1260</v>
      </c>
      <c r="K164" t="s">
        <v>581</v>
      </c>
      <c r="L164">
        <v>24</v>
      </c>
    </row>
    <row r="165" spans="1:13" x14ac:dyDescent="0.35">
      <c r="A165" t="s">
        <v>927</v>
      </c>
      <c r="B165" t="s">
        <v>928</v>
      </c>
      <c r="C165" t="s">
        <v>255</v>
      </c>
      <c r="D165" s="8">
        <v>46119</v>
      </c>
      <c r="E165" s="8">
        <v>46137</v>
      </c>
      <c r="F165" s="8">
        <v>46149</v>
      </c>
      <c r="G165" t="s">
        <v>596</v>
      </c>
      <c r="H165" s="6">
        <v>3708</v>
      </c>
      <c r="I165" s="6">
        <v>1868</v>
      </c>
      <c r="J165" s="6">
        <v>1843</v>
      </c>
      <c r="K165" t="s">
        <v>581</v>
      </c>
      <c r="L165">
        <v>12</v>
      </c>
    </row>
    <row r="166" spans="1:13" x14ac:dyDescent="0.35">
      <c r="A166" t="s">
        <v>929</v>
      </c>
      <c r="B166" t="s">
        <v>930</v>
      </c>
      <c r="C166" t="s">
        <v>516</v>
      </c>
      <c r="D166" s="8">
        <v>46077</v>
      </c>
      <c r="E166" s="8">
        <v>46081</v>
      </c>
      <c r="G166" t="s">
        <v>596</v>
      </c>
      <c r="H166" s="6">
        <v>14901</v>
      </c>
      <c r="I166" s="6">
        <v>7047</v>
      </c>
      <c r="J166" s="6">
        <v>0</v>
      </c>
      <c r="K166" t="s">
        <v>585</v>
      </c>
      <c r="L166">
        <v>89</v>
      </c>
    </row>
    <row r="167" spans="1:13" x14ac:dyDescent="0.35">
      <c r="A167" t="s">
        <v>931</v>
      </c>
      <c r="B167" t="s">
        <v>932</v>
      </c>
      <c r="C167" t="s">
        <v>336</v>
      </c>
      <c r="D167" s="8">
        <v>46044</v>
      </c>
      <c r="E167" s="8">
        <v>46047</v>
      </c>
      <c r="G167" t="s">
        <v>596</v>
      </c>
      <c r="H167" s="6">
        <v>12734</v>
      </c>
      <c r="I167" s="6">
        <v>7204</v>
      </c>
      <c r="J167" s="6">
        <v>0</v>
      </c>
      <c r="K167" t="s">
        <v>585</v>
      </c>
      <c r="L167">
        <v>123</v>
      </c>
    </row>
    <row r="168" spans="1:13" x14ac:dyDescent="0.35">
      <c r="A168" t="s">
        <v>933</v>
      </c>
      <c r="B168" t="s">
        <v>934</v>
      </c>
      <c r="C168" t="s">
        <v>174</v>
      </c>
      <c r="D168" s="8">
        <v>46010</v>
      </c>
      <c r="E168" s="8">
        <v>46020</v>
      </c>
      <c r="F168" s="8">
        <v>46040</v>
      </c>
      <c r="G168" t="s">
        <v>588</v>
      </c>
      <c r="H168" s="6">
        <v>12914</v>
      </c>
      <c r="I168" s="6">
        <v>8285</v>
      </c>
      <c r="J168" s="6">
        <v>8063</v>
      </c>
      <c r="K168" t="s">
        <v>581</v>
      </c>
      <c r="L168">
        <v>20</v>
      </c>
    </row>
    <row r="169" spans="1:13" x14ac:dyDescent="0.35">
      <c r="A169" t="s">
        <v>935</v>
      </c>
      <c r="B169" t="s">
        <v>936</v>
      </c>
      <c r="C169" t="s">
        <v>152</v>
      </c>
      <c r="D169" s="8">
        <v>46136</v>
      </c>
      <c r="E169" s="8">
        <v>46149</v>
      </c>
      <c r="F169" s="8">
        <v>46166</v>
      </c>
      <c r="G169" t="s">
        <v>580</v>
      </c>
      <c r="H169" s="6">
        <v>6956</v>
      </c>
      <c r="I169" s="6">
        <v>3828</v>
      </c>
      <c r="J169" s="6">
        <v>3818</v>
      </c>
      <c r="K169" t="s">
        <v>581</v>
      </c>
      <c r="L169">
        <v>17</v>
      </c>
    </row>
    <row r="170" spans="1:13" x14ac:dyDescent="0.35">
      <c r="A170" t="s">
        <v>937</v>
      </c>
      <c r="B170" t="s">
        <v>938</v>
      </c>
      <c r="C170" t="s">
        <v>233</v>
      </c>
      <c r="D170" s="8">
        <v>46110</v>
      </c>
      <c r="E170" s="8">
        <v>46116</v>
      </c>
      <c r="G170" t="s">
        <v>588</v>
      </c>
      <c r="H170" s="6">
        <v>13972</v>
      </c>
      <c r="I170" s="6">
        <v>9174</v>
      </c>
      <c r="J170" s="6">
        <v>0</v>
      </c>
      <c r="K170" t="s">
        <v>671</v>
      </c>
      <c r="L170">
        <v>54</v>
      </c>
      <c r="M170" t="s">
        <v>675</v>
      </c>
    </row>
    <row r="171" spans="1:13" x14ac:dyDescent="0.35">
      <c r="A171" t="s">
        <v>939</v>
      </c>
      <c r="B171" t="s">
        <v>940</v>
      </c>
      <c r="C171" t="s">
        <v>72</v>
      </c>
      <c r="D171" s="8">
        <v>46023</v>
      </c>
      <c r="E171" s="8">
        <v>46030</v>
      </c>
      <c r="F171" s="8">
        <v>46052</v>
      </c>
      <c r="G171" t="s">
        <v>580</v>
      </c>
      <c r="H171" s="6">
        <v>2139</v>
      </c>
      <c r="I171" s="6">
        <v>1607</v>
      </c>
      <c r="J171" s="6">
        <v>1563</v>
      </c>
      <c r="K171" t="s">
        <v>581</v>
      </c>
      <c r="L171">
        <v>22</v>
      </c>
    </row>
    <row r="172" spans="1:13" x14ac:dyDescent="0.35">
      <c r="A172" t="s">
        <v>941</v>
      </c>
      <c r="B172" t="s">
        <v>942</v>
      </c>
      <c r="C172" t="s">
        <v>399</v>
      </c>
      <c r="D172" s="8">
        <v>46030</v>
      </c>
      <c r="E172" s="8">
        <v>46045</v>
      </c>
      <c r="G172" t="s">
        <v>588</v>
      </c>
      <c r="H172" s="6">
        <v>1788</v>
      </c>
      <c r="I172" s="6">
        <v>1017</v>
      </c>
      <c r="J172" s="6">
        <v>0</v>
      </c>
      <c r="K172" t="s">
        <v>585</v>
      </c>
      <c r="L172">
        <v>125</v>
      </c>
    </row>
    <row r="173" spans="1:13" x14ac:dyDescent="0.35">
      <c r="A173" t="s">
        <v>943</v>
      </c>
      <c r="B173" t="s">
        <v>944</v>
      </c>
      <c r="C173" t="s">
        <v>533</v>
      </c>
      <c r="D173" s="8">
        <v>46116</v>
      </c>
      <c r="E173" s="8">
        <v>46129</v>
      </c>
      <c r="F173" s="8">
        <v>46140</v>
      </c>
      <c r="G173" t="s">
        <v>593</v>
      </c>
      <c r="H173" s="6">
        <v>14406</v>
      </c>
      <c r="I173" s="6">
        <v>8831</v>
      </c>
      <c r="J173" s="6">
        <v>8654</v>
      </c>
      <c r="K173" t="s">
        <v>581</v>
      </c>
      <c r="L173">
        <v>11</v>
      </c>
    </row>
    <row r="174" spans="1:13" x14ac:dyDescent="0.35">
      <c r="A174" t="s">
        <v>945</v>
      </c>
      <c r="B174" t="s">
        <v>946</v>
      </c>
      <c r="C174" t="s">
        <v>394</v>
      </c>
      <c r="D174" s="8">
        <v>46078</v>
      </c>
      <c r="E174" s="8">
        <v>46092</v>
      </c>
      <c r="F174" s="8">
        <v>46100</v>
      </c>
      <c r="G174" t="s">
        <v>588</v>
      </c>
      <c r="H174" s="6">
        <v>5669</v>
      </c>
      <c r="I174" s="6">
        <v>4555</v>
      </c>
      <c r="J174" s="6">
        <v>4469</v>
      </c>
      <c r="K174" t="s">
        <v>581</v>
      </c>
      <c r="L174">
        <v>8</v>
      </c>
    </row>
    <row r="175" spans="1:13" x14ac:dyDescent="0.35">
      <c r="A175" t="s">
        <v>947</v>
      </c>
      <c r="B175" t="s">
        <v>948</v>
      </c>
      <c r="C175" t="s">
        <v>548</v>
      </c>
      <c r="D175" s="8">
        <v>46024</v>
      </c>
      <c r="E175" s="8">
        <v>46028</v>
      </c>
      <c r="G175" t="s">
        <v>584</v>
      </c>
      <c r="H175" s="6">
        <v>4645</v>
      </c>
      <c r="I175" s="6">
        <v>3313</v>
      </c>
      <c r="J175" s="6">
        <v>0</v>
      </c>
      <c r="K175" t="s">
        <v>585</v>
      </c>
      <c r="L175">
        <v>142</v>
      </c>
    </row>
    <row r="176" spans="1:13" x14ac:dyDescent="0.35">
      <c r="A176" t="s">
        <v>949</v>
      </c>
      <c r="B176" t="s">
        <v>950</v>
      </c>
      <c r="C176" t="s">
        <v>519</v>
      </c>
      <c r="D176" s="8">
        <v>46153</v>
      </c>
      <c r="E176" s="8">
        <v>46161</v>
      </c>
      <c r="F176" s="8">
        <v>46171</v>
      </c>
      <c r="G176" t="s">
        <v>584</v>
      </c>
      <c r="H176" s="6">
        <v>14437</v>
      </c>
      <c r="I176" s="6">
        <v>12017</v>
      </c>
      <c r="J176" s="6">
        <v>11420</v>
      </c>
      <c r="K176" t="s">
        <v>581</v>
      </c>
      <c r="L176">
        <v>10</v>
      </c>
    </row>
    <row r="177" spans="1:13" x14ac:dyDescent="0.35">
      <c r="A177" t="s">
        <v>951</v>
      </c>
      <c r="B177" t="s">
        <v>952</v>
      </c>
      <c r="C177" t="s">
        <v>539</v>
      </c>
      <c r="D177" s="8">
        <v>46072</v>
      </c>
      <c r="E177" s="8">
        <v>46088</v>
      </c>
      <c r="F177" s="8">
        <v>46115</v>
      </c>
      <c r="G177" t="s">
        <v>584</v>
      </c>
      <c r="H177" s="6">
        <v>9659</v>
      </c>
      <c r="I177" s="6">
        <v>7895</v>
      </c>
      <c r="J177" s="6">
        <v>0</v>
      </c>
      <c r="K177" t="s">
        <v>653</v>
      </c>
      <c r="L177">
        <v>27</v>
      </c>
      <c r="M177" t="s">
        <v>772</v>
      </c>
    </row>
    <row r="178" spans="1:13" x14ac:dyDescent="0.35">
      <c r="A178" t="s">
        <v>953</v>
      </c>
      <c r="B178" t="s">
        <v>954</v>
      </c>
      <c r="C178" t="s">
        <v>252</v>
      </c>
      <c r="D178" s="8">
        <v>46078</v>
      </c>
      <c r="E178" s="8">
        <v>46095</v>
      </c>
      <c r="F178" s="8">
        <v>46113</v>
      </c>
      <c r="G178" t="s">
        <v>584</v>
      </c>
      <c r="H178" s="6">
        <v>11151</v>
      </c>
      <c r="I178" s="6">
        <v>8231</v>
      </c>
      <c r="J178" s="6">
        <v>7887</v>
      </c>
      <c r="K178" t="s">
        <v>581</v>
      </c>
      <c r="L178">
        <v>18</v>
      </c>
    </row>
    <row r="179" spans="1:13" x14ac:dyDescent="0.35">
      <c r="A179" t="s">
        <v>955</v>
      </c>
      <c r="B179" t="s">
        <v>956</v>
      </c>
      <c r="C179" t="s">
        <v>48</v>
      </c>
      <c r="D179" s="8">
        <v>46089</v>
      </c>
      <c r="E179" s="8">
        <v>46092</v>
      </c>
      <c r="F179" s="8">
        <v>46110</v>
      </c>
      <c r="G179" t="s">
        <v>596</v>
      </c>
      <c r="H179" s="6">
        <v>1914</v>
      </c>
      <c r="I179" s="6">
        <v>1377</v>
      </c>
      <c r="J179" s="6">
        <v>1348</v>
      </c>
      <c r="K179" t="s">
        <v>581</v>
      </c>
      <c r="L179">
        <v>18</v>
      </c>
    </row>
    <row r="180" spans="1:13" x14ac:dyDescent="0.35">
      <c r="A180" t="s">
        <v>957</v>
      </c>
      <c r="B180" t="s">
        <v>958</v>
      </c>
      <c r="C180" t="s">
        <v>319</v>
      </c>
      <c r="D180" s="8">
        <v>46144</v>
      </c>
      <c r="E180" s="8">
        <v>46160</v>
      </c>
      <c r="F180" s="8">
        <v>46175</v>
      </c>
      <c r="G180" t="s">
        <v>580</v>
      </c>
      <c r="H180" s="6">
        <v>13708</v>
      </c>
      <c r="I180" s="6">
        <v>10316</v>
      </c>
      <c r="J180" s="6">
        <v>9925</v>
      </c>
      <c r="K180" t="s">
        <v>581</v>
      </c>
      <c r="L180">
        <v>15</v>
      </c>
    </row>
    <row r="181" spans="1:13" x14ac:dyDescent="0.35">
      <c r="A181" t="s">
        <v>959</v>
      </c>
      <c r="B181" t="s">
        <v>960</v>
      </c>
      <c r="C181" t="s">
        <v>456</v>
      </c>
      <c r="D181" s="8">
        <v>46055</v>
      </c>
      <c r="E181" s="8">
        <v>46059</v>
      </c>
      <c r="F181" s="8">
        <v>46072</v>
      </c>
      <c r="G181" t="s">
        <v>596</v>
      </c>
      <c r="H181" s="6">
        <v>12751</v>
      </c>
      <c r="I181" s="6">
        <v>9644</v>
      </c>
      <c r="J181" s="6">
        <v>9436</v>
      </c>
      <c r="K181" t="s">
        <v>581</v>
      </c>
      <c r="L181">
        <v>13</v>
      </c>
    </row>
    <row r="182" spans="1:13" x14ac:dyDescent="0.35">
      <c r="A182" t="s">
        <v>961</v>
      </c>
      <c r="B182" t="s">
        <v>962</v>
      </c>
      <c r="C182" t="s">
        <v>456</v>
      </c>
      <c r="D182" s="8">
        <v>46061</v>
      </c>
      <c r="E182" s="8">
        <v>46070</v>
      </c>
      <c r="F182" s="8">
        <v>46082</v>
      </c>
      <c r="G182" t="s">
        <v>593</v>
      </c>
      <c r="H182" s="6">
        <v>8002</v>
      </c>
      <c r="I182" s="6">
        <v>3688</v>
      </c>
      <c r="J182" s="6">
        <v>3659</v>
      </c>
      <c r="K182" t="s">
        <v>581</v>
      </c>
      <c r="L182">
        <v>12</v>
      </c>
    </row>
    <row r="183" spans="1:13" x14ac:dyDescent="0.35">
      <c r="A183" t="s">
        <v>963</v>
      </c>
      <c r="B183" t="s">
        <v>964</v>
      </c>
      <c r="C183" t="s">
        <v>204</v>
      </c>
      <c r="D183" s="8">
        <v>46132</v>
      </c>
      <c r="E183" s="8">
        <v>46143</v>
      </c>
      <c r="F183" s="8">
        <v>46164</v>
      </c>
      <c r="G183" t="s">
        <v>596</v>
      </c>
      <c r="H183" s="6">
        <v>7298</v>
      </c>
      <c r="I183" s="6">
        <v>4249</v>
      </c>
      <c r="J183" s="6">
        <v>4215</v>
      </c>
      <c r="K183" t="s">
        <v>581</v>
      </c>
      <c r="L183">
        <v>21</v>
      </c>
    </row>
    <row r="184" spans="1:13" x14ac:dyDescent="0.35">
      <c r="A184" t="s">
        <v>965</v>
      </c>
      <c r="B184" t="s">
        <v>966</v>
      </c>
      <c r="C184" t="s">
        <v>290</v>
      </c>
      <c r="D184" s="8">
        <v>46084</v>
      </c>
      <c r="E184" s="8">
        <v>46094</v>
      </c>
      <c r="F184" s="8">
        <v>46115</v>
      </c>
      <c r="G184" t="s">
        <v>584</v>
      </c>
      <c r="H184" s="6">
        <v>15097</v>
      </c>
      <c r="I184" s="6">
        <v>8982</v>
      </c>
      <c r="J184" s="6">
        <v>8852</v>
      </c>
      <c r="K184" t="s">
        <v>581</v>
      </c>
      <c r="L184">
        <v>21</v>
      </c>
    </row>
    <row r="185" spans="1:13" x14ac:dyDescent="0.35">
      <c r="A185" t="s">
        <v>967</v>
      </c>
      <c r="B185" t="s">
        <v>968</v>
      </c>
      <c r="C185" t="s">
        <v>404</v>
      </c>
      <c r="D185" s="8">
        <v>46024</v>
      </c>
      <c r="E185" s="8">
        <v>46034</v>
      </c>
      <c r="F185" s="8">
        <v>46048</v>
      </c>
      <c r="G185" t="s">
        <v>593</v>
      </c>
      <c r="H185" s="6">
        <v>4643</v>
      </c>
      <c r="I185" s="6">
        <v>2334</v>
      </c>
      <c r="J185" s="6">
        <v>2219</v>
      </c>
      <c r="K185" t="s">
        <v>581</v>
      </c>
      <c r="L185">
        <v>14</v>
      </c>
    </row>
    <row r="186" spans="1:13" x14ac:dyDescent="0.35">
      <c r="A186" t="s">
        <v>969</v>
      </c>
      <c r="B186" t="s">
        <v>970</v>
      </c>
      <c r="C186" t="s">
        <v>380</v>
      </c>
      <c r="D186" s="8">
        <v>46149</v>
      </c>
      <c r="E186" s="8">
        <v>46153</v>
      </c>
      <c r="G186" t="s">
        <v>593</v>
      </c>
      <c r="H186" s="6">
        <v>16609</v>
      </c>
      <c r="I186" s="6">
        <v>13885</v>
      </c>
      <c r="J186" s="6">
        <v>0</v>
      </c>
      <c r="K186" t="s">
        <v>585</v>
      </c>
      <c r="L186">
        <v>17</v>
      </c>
    </row>
    <row r="187" spans="1:13" x14ac:dyDescent="0.35">
      <c r="A187" t="s">
        <v>971</v>
      </c>
      <c r="B187" t="s">
        <v>972</v>
      </c>
      <c r="C187" t="s">
        <v>290</v>
      </c>
      <c r="D187" s="8">
        <v>46087</v>
      </c>
      <c r="E187" s="8">
        <v>46098</v>
      </c>
      <c r="F187" s="8">
        <v>46108</v>
      </c>
      <c r="G187" t="s">
        <v>588</v>
      </c>
      <c r="H187" s="6">
        <v>4492</v>
      </c>
      <c r="I187" s="6">
        <v>3326</v>
      </c>
      <c r="J187" s="6">
        <v>3245</v>
      </c>
      <c r="K187" t="s">
        <v>581</v>
      </c>
      <c r="L187">
        <v>10</v>
      </c>
    </row>
    <row r="188" spans="1:13" x14ac:dyDescent="0.35">
      <c r="A188" t="s">
        <v>973</v>
      </c>
      <c r="B188" t="s">
        <v>974</v>
      </c>
      <c r="C188" t="s">
        <v>246</v>
      </c>
      <c r="D188" s="8">
        <v>46158</v>
      </c>
      <c r="E188" s="8">
        <v>46165</v>
      </c>
      <c r="G188" t="s">
        <v>580</v>
      </c>
      <c r="H188" s="6">
        <v>8202</v>
      </c>
      <c r="I188" s="6">
        <v>4874</v>
      </c>
      <c r="J188" s="6">
        <v>0</v>
      </c>
      <c r="K188" t="s">
        <v>585</v>
      </c>
      <c r="L188">
        <v>5</v>
      </c>
    </row>
    <row r="189" spans="1:13" x14ac:dyDescent="0.35">
      <c r="A189" t="s">
        <v>975</v>
      </c>
      <c r="B189" t="s">
        <v>976</v>
      </c>
      <c r="C189" t="s">
        <v>561</v>
      </c>
      <c r="D189" s="8">
        <v>46054</v>
      </c>
      <c r="E189" s="8">
        <v>46071</v>
      </c>
      <c r="F189" s="8">
        <v>46094</v>
      </c>
      <c r="G189" t="s">
        <v>593</v>
      </c>
      <c r="H189" s="6">
        <v>15411</v>
      </c>
      <c r="I189" s="6">
        <v>9986</v>
      </c>
      <c r="J189" s="6">
        <v>9685</v>
      </c>
      <c r="K189" t="s">
        <v>581</v>
      </c>
      <c r="L189">
        <v>23</v>
      </c>
    </row>
    <row r="190" spans="1:13" x14ac:dyDescent="0.35">
      <c r="A190" t="s">
        <v>977</v>
      </c>
      <c r="B190" t="s">
        <v>978</v>
      </c>
      <c r="C190" t="s">
        <v>478</v>
      </c>
      <c r="D190" s="8">
        <v>46043</v>
      </c>
      <c r="E190" s="8">
        <v>46049</v>
      </c>
      <c r="F190" s="8">
        <v>46061</v>
      </c>
      <c r="G190" t="s">
        <v>588</v>
      </c>
      <c r="H190" s="6">
        <v>2474</v>
      </c>
      <c r="I190" s="6">
        <v>1476</v>
      </c>
      <c r="J190" s="6">
        <v>1439</v>
      </c>
      <c r="K190" t="s">
        <v>581</v>
      </c>
      <c r="L190">
        <v>12</v>
      </c>
    </row>
    <row r="191" spans="1:13" x14ac:dyDescent="0.35">
      <c r="A191" t="s">
        <v>979</v>
      </c>
      <c r="B191" t="s">
        <v>980</v>
      </c>
      <c r="C191" t="s">
        <v>328</v>
      </c>
      <c r="D191" s="8">
        <v>46139</v>
      </c>
      <c r="E191" s="8">
        <v>46157</v>
      </c>
      <c r="F191" s="8">
        <v>46170</v>
      </c>
      <c r="G191" t="s">
        <v>584</v>
      </c>
      <c r="H191" s="6">
        <v>3231</v>
      </c>
      <c r="I191" s="6">
        <v>2551</v>
      </c>
      <c r="J191" s="6">
        <v>2476</v>
      </c>
      <c r="K191" t="s">
        <v>581</v>
      </c>
      <c r="L191">
        <v>13</v>
      </c>
    </row>
    <row r="192" spans="1:13" x14ac:dyDescent="0.35">
      <c r="A192" t="s">
        <v>981</v>
      </c>
      <c r="B192" t="s">
        <v>982</v>
      </c>
      <c r="C192" t="s">
        <v>504</v>
      </c>
      <c r="D192" s="8">
        <v>46065</v>
      </c>
      <c r="E192" s="8">
        <v>46071</v>
      </c>
      <c r="F192" s="8">
        <v>46090</v>
      </c>
      <c r="G192" t="s">
        <v>588</v>
      </c>
      <c r="H192" s="6">
        <v>2742</v>
      </c>
      <c r="I192" s="6">
        <v>1316</v>
      </c>
      <c r="J192" s="6">
        <v>1303</v>
      </c>
      <c r="K192" t="s">
        <v>581</v>
      </c>
      <c r="L192">
        <v>19</v>
      </c>
    </row>
    <row r="193" spans="1:13" x14ac:dyDescent="0.35">
      <c r="A193" t="s">
        <v>983</v>
      </c>
      <c r="B193" t="s">
        <v>984</v>
      </c>
      <c r="C193" t="s">
        <v>198</v>
      </c>
      <c r="D193" s="8">
        <v>46124</v>
      </c>
      <c r="E193" s="8">
        <v>46127</v>
      </c>
      <c r="F193" s="8">
        <v>46132</v>
      </c>
      <c r="G193" t="s">
        <v>588</v>
      </c>
      <c r="H193" s="6">
        <v>9104</v>
      </c>
      <c r="I193" s="6">
        <v>7359</v>
      </c>
      <c r="J193" s="6">
        <v>7133</v>
      </c>
      <c r="K193" t="s">
        <v>581</v>
      </c>
      <c r="L193">
        <v>5</v>
      </c>
    </row>
    <row r="194" spans="1:13" x14ac:dyDescent="0.35">
      <c r="A194" t="s">
        <v>985</v>
      </c>
      <c r="B194" t="s">
        <v>986</v>
      </c>
      <c r="C194" t="s">
        <v>451</v>
      </c>
      <c r="D194" s="8">
        <v>46124</v>
      </c>
      <c r="E194" s="8">
        <v>46128</v>
      </c>
      <c r="G194" t="s">
        <v>596</v>
      </c>
      <c r="H194" s="6">
        <v>11465</v>
      </c>
      <c r="I194" s="6">
        <v>8635</v>
      </c>
      <c r="J194" s="6">
        <v>0</v>
      </c>
      <c r="K194" t="s">
        <v>585</v>
      </c>
      <c r="L194">
        <v>42</v>
      </c>
    </row>
    <row r="195" spans="1:13" x14ac:dyDescent="0.35">
      <c r="A195" t="s">
        <v>987</v>
      </c>
      <c r="B195" t="s">
        <v>988</v>
      </c>
      <c r="C195" t="s">
        <v>397</v>
      </c>
      <c r="D195" s="8">
        <v>46035</v>
      </c>
      <c r="E195" s="8">
        <v>46048</v>
      </c>
      <c r="F195" s="8">
        <v>46057</v>
      </c>
      <c r="G195" t="s">
        <v>584</v>
      </c>
      <c r="H195" s="6">
        <v>11593</v>
      </c>
      <c r="I195" s="6">
        <v>5525</v>
      </c>
      <c r="J195" s="6">
        <v>5411</v>
      </c>
      <c r="K195" t="s">
        <v>581</v>
      </c>
      <c r="L195">
        <v>9</v>
      </c>
    </row>
    <row r="196" spans="1:13" x14ac:dyDescent="0.35">
      <c r="A196" t="s">
        <v>989</v>
      </c>
      <c r="B196" t="s">
        <v>990</v>
      </c>
      <c r="C196" t="s">
        <v>142</v>
      </c>
      <c r="D196" s="8">
        <v>46033</v>
      </c>
      <c r="E196" s="8">
        <v>46047</v>
      </c>
      <c r="F196" s="8">
        <v>46059</v>
      </c>
      <c r="G196" t="s">
        <v>593</v>
      </c>
      <c r="H196" s="6">
        <v>8413</v>
      </c>
      <c r="I196" s="6">
        <v>5842</v>
      </c>
      <c r="J196" s="6">
        <v>5612</v>
      </c>
      <c r="K196" t="s">
        <v>581</v>
      </c>
      <c r="L196">
        <v>12</v>
      </c>
    </row>
    <row r="197" spans="1:13" x14ac:dyDescent="0.35">
      <c r="A197" t="s">
        <v>991</v>
      </c>
      <c r="B197" t="s">
        <v>992</v>
      </c>
      <c r="C197" t="s">
        <v>339</v>
      </c>
      <c r="D197" s="8">
        <v>46151</v>
      </c>
      <c r="E197" s="8">
        <v>46167</v>
      </c>
      <c r="F197" s="8">
        <v>46173</v>
      </c>
      <c r="G197" t="s">
        <v>596</v>
      </c>
      <c r="H197" s="6">
        <v>2702</v>
      </c>
      <c r="I197" s="6">
        <v>2109</v>
      </c>
      <c r="J197" s="6">
        <v>2013</v>
      </c>
      <c r="K197" t="s">
        <v>581</v>
      </c>
      <c r="L197">
        <v>6</v>
      </c>
    </row>
    <row r="198" spans="1:13" x14ac:dyDescent="0.35">
      <c r="A198" t="s">
        <v>993</v>
      </c>
      <c r="B198" t="s">
        <v>994</v>
      </c>
      <c r="C198" t="s">
        <v>556</v>
      </c>
      <c r="D198" s="8">
        <v>46028</v>
      </c>
      <c r="E198" s="8">
        <v>46038</v>
      </c>
      <c r="F198" s="8">
        <v>46046</v>
      </c>
      <c r="G198" t="s">
        <v>584</v>
      </c>
      <c r="H198" s="6">
        <v>971</v>
      </c>
      <c r="I198" s="6">
        <v>572</v>
      </c>
      <c r="J198" s="6">
        <v>569</v>
      </c>
      <c r="K198" t="s">
        <v>581</v>
      </c>
      <c r="L198">
        <v>8</v>
      </c>
    </row>
    <row r="199" spans="1:13" x14ac:dyDescent="0.35">
      <c r="A199" t="s">
        <v>995</v>
      </c>
      <c r="B199" t="s">
        <v>996</v>
      </c>
      <c r="C199" t="s">
        <v>325</v>
      </c>
      <c r="D199" s="8">
        <v>46112</v>
      </c>
      <c r="E199" s="8">
        <v>46123</v>
      </c>
      <c r="F199" s="8">
        <v>46134</v>
      </c>
      <c r="G199" t="s">
        <v>584</v>
      </c>
      <c r="H199" s="6">
        <v>1461</v>
      </c>
      <c r="I199" s="6">
        <v>1075</v>
      </c>
      <c r="J199" s="6">
        <v>1039</v>
      </c>
      <c r="K199" t="s">
        <v>581</v>
      </c>
      <c r="L199">
        <v>11</v>
      </c>
    </row>
    <row r="200" spans="1:13" x14ac:dyDescent="0.35">
      <c r="A200" t="s">
        <v>997</v>
      </c>
      <c r="B200" t="s">
        <v>998</v>
      </c>
      <c r="C200" t="s">
        <v>233</v>
      </c>
      <c r="D200" s="8">
        <v>46115</v>
      </c>
      <c r="E200" s="8">
        <v>46132</v>
      </c>
      <c r="F200" s="8">
        <v>46162</v>
      </c>
      <c r="G200" t="s">
        <v>580</v>
      </c>
      <c r="H200" s="6">
        <v>4022</v>
      </c>
      <c r="I200" s="6">
        <v>2962</v>
      </c>
      <c r="J200" s="6">
        <v>1453</v>
      </c>
      <c r="K200" t="s">
        <v>607</v>
      </c>
      <c r="L200">
        <v>38</v>
      </c>
      <c r="M200" t="s">
        <v>767</v>
      </c>
    </row>
    <row r="201" spans="1:13" x14ac:dyDescent="0.35">
      <c r="A201" t="s">
        <v>999</v>
      </c>
      <c r="B201" t="s">
        <v>1000</v>
      </c>
      <c r="C201" t="s">
        <v>478</v>
      </c>
      <c r="D201" s="8">
        <v>46065</v>
      </c>
      <c r="E201" s="8">
        <v>46079</v>
      </c>
      <c r="F201" s="8">
        <v>46097</v>
      </c>
      <c r="G201" t="s">
        <v>584</v>
      </c>
      <c r="H201" s="6">
        <v>14936</v>
      </c>
      <c r="I201" s="6">
        <v>9522</v>
      </c>
      <c r="J201" s="6">
        <v>9321</v>
      </c>
      <c r="K201" t="s">
        <v>581</v>
      </c>
      <c r="L201">
        <v>18</v>
      </c>
    </row>
    <row r="202" spans="1:13" x14ac:dyDescent="0.35">
      <c r="A202" t="s">
        <v>1001</v>
      </c>
      <c r="B202" t="s">
        <v>1002</v>
      </c>
      <c r="C202" t="s">
        <v>183</v>
      </c>
      <c r="D202" s="8">
        <v>46020</v>
      </c>
      <c r="E202" s="8">
        <v>46026</v>
      </c>
      <c r="F202" s="8">
        <v>46035</v>
      </c>
      <c r="G202" t="s">
        <v>584</v>
      </c>
      <c r="H202" s="6">
        <v>4298</v>
      </c>
      <c r="I202" s="6">
        <v>3297</v>
      </c>
      <c r="J202" s="6">
        <v>3141</v>
      </c>
      <c r="K202" t="s">
        <v>581</v>
      </c>
      <c r="L202">
        <v>9</v>
      </c>
    </row>
    <row r="203" spans="1:13" x14ac:dyDescent="0.35">
      <c r="A203" t="s">
        <v>1003</v>
      </c>
      <c r="B203" t="s">
        <v>1004</v>
      </c>
      <c r="C203" t="s">
        <v>129</v>
      </c>
      <c r="D203" s="8">
        <v>46148</v>
      </c>
      <c r="E203" s="8">
        <v>46152</v>
      </c>
      <c r="F203" s="8">
        <v>46168</v>
      </c>
      <c r="G203" t="s">
        <v>588</v>
      </c>
      <c r="H203" s="6">
        <v>3530</v>
      </c>
      <c r="I203" s="6">
        <v>1772</v>
      </c>
      <c r="J203" s="6">
        <v>1746</v>
      </c>
      <c r="K203" t="s">
        <v>581</v>
      </c>
      <c r="L203">
        <v>16</v>
      </c>
    </row>
    <row r="204" spans="1:13" x14ac:dyDescent="0.35">
      <c r="A204" t="s">
        <v>1005</v>
      </c>
      <c r="B204" t="s">
        <v>1006</v>
      </c>
      <c r="C204" t="s">
        <v>266</v>
      </c>
      <c r="D204" s="8">
        <v>46026</v>
      </c>
      <c r="E204" s="8">
        <v>46039</v>
      </c>
      <c r="G204" t="s">
        <v>596</v>
      </c>
      <c r="H204" s="6">
        <v>13265</v>
      </c>
      <c r="I204" s="6">
        <v>10440</v>
      </c>
      <c r="J204" s="6">
        <v>0</v>
      </c>
      <c r="K204" t="s">
        <v>585</v>
      </c>
      <c r="L204">
        <v>131</v>
      </c>
    </row>
    <row r="205" spans="1:13" x14ac:dyDescent="0.35">
      <c r="A205" t="s">
        <v>1007</v>
      </c>
      <c r="B205" t="s">
        <v>1008</v>
      </c>
      <c r="C205" t="s">
        <v>152</v>
      </c>
      <c r="D205" s="8">
        <v>46094</v>
      </c>
      <c r="E205" s="8">
        <v>46101</v>
      </c>
      <c r="G205" t="s">
        <v>584</v>
      </c>
      <c r="H205" s="6">
        <v>12315</v>
      </c>
      <c r="I205" s="6">
        <v>10348</v>
      </c>
      <c r="J205" s="6">
        <v>0</v>
      </c>
      <c r="K205" t="s">
        <v>671</v>
      </c>
      <c r="L205">
        <v>69</v>
      </c>
      <c r="M205" t="s">
        <v>855</v>
      </c>
    </row>
    <row r="206" spans="1:13" x14ac:dyDescent="0.35">
      <c r="A206" t="s">
        <v>1009</v>
      </c>
      <c r="B206" t="s">
        <v>1010</v>
      </c>
      <c r="C206" t="s">
        <v>496</v>
      </c>
      <c r="D206" s="8">
        <v>46026</v>
      </c>
      <c r="E206" s="8">
        <v>46031</v>
      </c>
      <c r="F206" s="8">
        <v>46047</v>
      </c>
      <c r="G206" t="s">
        <v>580</v>
      </c>
      <c r="H206" s="6">
        <v>8009</v>
      </c>
      <c r="I206" s="6">
        <v>4383</v>
      </c>
      <c r="J206" s="6">
        <v>4165</v>
      </c>
      <c r="K206" t="s">
        <v>581</v>
      </c>
      <c r="L206">
        <v>16</v>
      </c>
    </row>
    <row r="207" spans="1:13" x14ac:dyDescent="0.35">
      <c r="A207" t="s">
        <v>1011</v>
      </c>
      <c r="B207" t="s">
        <v>1012</v>
      </c>
      <c r="C207" t="s">
        <v>410</v>
      </c>
      <c r="D207" s="8">
        <v>46085</v>
      </c>
      <c r="E207" s="8">
        <v>46090</v>
      </c>
      <c r="F207" s="8">
        <v>46103</v>
      </c>
      <c r="G207" t="s">
        <v>584</v>
      </c>
      <c r="H207" s="6">
        <v>7977</v>
      </c>
      <c r="I207" s="6">
        <v>5985</v>
      </c>
      <c r="J207" s="6">
        <v>0</v>
      </c>
      <c r="K207" t="s">
        <v>653</v>
      </c>
      <c r="L207">
        <v>13</v>
      </c>
      <c r="M207" t="s">
        <v>741</v>
      </c>
    </row>
    <row r="208" spans="1:13" x14ac:dyDescent="0.35">
      <c r="A208" t="s">
        <v>1013</v>
      </c>
      <c r="B208" t="s">
        <v>1014</v>
      </c>
      <c r="C208" t="s">
        <v>556</v>
      </c>
      <c r="D208" s="8">
        <v>46144</v>
      </c>
      <c r="E208" s="8">
        <v>46156</v>
      </c>
      <c r="G208" t="s">
        <v>588</v>
      </c>
      <c r="H208" s="6">
        <v>6988</v>
      </c>
      <c r="I208" s="6">
        <v>5294</v>
      </c>
      <c r="J208" s="6">
        <v>0</v>
      </c>
      <c r="K208" t="s">
        <v>585</v>
      </c>
      <c r="L208">
        <v>14</v>
      </c>
    </row>
    <row r="209" spans="1:13" x14ac:dyDescent="0.35">
      <c r="A209" t="s">
        <v>1015</v>
      </c>
      <c r="B209" t="s">
        <v>1016</v>
      </c>
      <c r="C209" t="s">
        <v>483</v>
      </c>
      <c r="D209" s="8">
        <v>46076</v>
      </c>
      <c r="E209" s="8">
        <v>46094</v>
      </c>
      <c r="F209" s="8">
        <v>46104</v>
      </c>
      <c r="G209" t="s">
        <v>580</v>
      </c>
      <c r="H209" s="6">
        <v>99</v>
      </c>
      <c r="I209" s="6">
        <v>57</v>
      </c>
      <c r="J209" s="6">
        <v>56</v>
      </c>
      <c r="K209" t="s">
        <v>581</v>
      </c>
      <c r="L209">
        <v>10</v>
      </c>
    </row>
    <row r="210" spans="1:13" x14ac:dyDescent="0.35">
      <c r="A210" t="s">
        <v>1017</v>
      </c>
      <c r="B210" t="s">
        <v>1018</v>
      </c>
      <c r="C210" t="s">
        <v>65</v>
      </c>
      <c r="D210" s="8">
        <v>46121</v>
      </c>
      <c r="E210" s="8">
        <v>46129</v>
      </c>
      <c r="F210" s="8">
        <v>46153</v>
      </c>
      <c r="G210" t="s">
        <v>596</v>
      </c>
      <c r="H210" s="6">
        <v>10591</v>
      </c>
      <c r="I210" s="6">
        <v>7750</v>
      </c>
      <c r="J210" s="6">
        <v>7691</v>
      </c>
      <c r="K210" t="s">
        <v>581</v>
      </c>
      <c r="L210">
        <v>24</v>
      </c>
    </row>
    <row r="211" spans="1:13" x14ac:dyDescent="0.35">
      <c r="A211" t="s">
        <v>1019</v>
      </c>
      <c r="B211" t="s">
        <v>1020</v>
      </c>
      <c r="C211" t="s">
        <v>363</v>
      </c>
      <c r="D211" s="8">
        <v>46063</v>
      </c>
      <c r="E211" s="8">
        <v>46080</v>
      </c>
      <c r="F211" s="8">
        <v>46086</v>
      </c>
      <c r="G211" t="s">
        <v>593</v>
      </c>
      <c r="H211" s="6">
        <v>14479</v>
      </c>
      <c r="I211" s="6">
        <v>10835</v>
      </c>
      <c r="J211" s="6">
        <v>10485</v>
      </c>
      <c r="K211" t="s">
        <v>581</v>
      </c>
      <c r="L211">
        <v>6</v>
      </c>
    </row>
    <row r="212" spans="1:13" x14ac:dyDescent="0.35">
      <c r="A212" t="s">
        <v>1021</v>
      </c>
      <c r="B212" t="s">
        <v>1022</v>
      </c>
      <c r="C212" t="s">
        <v>372</v>
      </c>
      <c r="D212" s="8">
        <v>46111</v>
      </c>
      <c r="E212" s="8">
        <v>46122</v>
      </c>
      <c r="F212" s="8">
        <v>46134</v>
      </c>
      <c r="G212" t="s">
        <v>588</v>
      </c>
      <c r="H212" s="6">
        <v>17231</v>
      </c>
      <c r="I212" s="6">
        <v>11373</v>
      </c>
      <c r="J212" s="6">
        <v>10985</v>
      </c>
      <c r="K212" t="s">
        <v>581</v>
      </c>
      <c r="L212">
        <v>12</v>
      </c>
    </row>
    <row r="213" spans="1:13" x14ac:dyDescent="0.35">
      <c r="A213" t="s">
        <v>1023</v>
      </c>
      <c r="B213" t="s">
        <v>1024</v>
      </c>
      <c r="C213" t="s">
        <v>142</v>
      </c>
      <c r="D213" s="8">
        <v>46028</v>
      </c>
      <c r="E213" s="8">
        <v>46040</v>
      </c>
      <c r="F213" s="8">
        <v>46069</v>
      </c>
      <c r="G213" t="s">
        <v>584</v>
      </c>
      <c r="H213" s="6">
        <v>11224</v>
      </c>
      <c r="I213" s="6">
        <v>6658</v>
      </c>
      <c r="J213" s="6">
        <v>0</v>
      </c>
      <c r="K213" t="s">
        <v>653</v>
      </c>
      <c r="L213">
        <v>29</v>
      </c>
      <c r="M213" t="s">
        <v>1025</v>
      </c>
    </row>
    <row r="214" spans="1:13" x14ac:dyDescent="0.35">
      <c r="A214" t="s">
        <v>1026</v>
      </c>
      <c r="B214" t="s">
        <v>1027</v>
      </c>
      <c r="C214" t="s">
        <v>383</v>
      </c>
      <c r="D214" s="8">
        <v>46107</v>
      </c>
      <c r="E214" s="8">
        <v>46118</v>
      </c>
      <c r="F214" s="8">
        <v>46135</v>
      </c>
      <c r="G214" t="s">
        <v>596</v>
      </c>
      <c r="H214" s="6">
        <v>13375</v>
      </c>
      <c r="I214" s="6">
        <v>7117</v>
      </c>
      <c r="J214" s="6">
        <v>6841</v>
      </c>
      <c r="K214" t="s">
        <v>581</v>
      </c>
      <c r="L214">
        <v>17</v>
      </c>
    </row>
    <row r="215" spans="1:13" x14ac:dyDescent="0.35">
      <c r="A215" t="s">
        <v>1028</v>
      </c>
      <c r="B215" t="s">
        <v>1029</v>
      </c>
      <c r="C215" t="s">
        <v>454</v>
      </c>
      <c r="D215" s="8">
        <v>46139</v>
      </c>
      <c r="E215" s="8">
        <v>46149</v>
      </c>
      <c r="F215" s="8">
        <v>46166</v>
      </c>
      <c r="G215" t="s">
        <v>593</v>
      </c>
      <c r="H215" s="6">
        <v>15627</v>
      </c>
      <c r="I215" s="6">
        <v>10505</v>
      </c>
      <c r="J215" s="6">
        <v>10284</v>
      </c>
      <c r="K215" t="s">
        <v>581</v>
      </c>
      <c r="L215">
        <v>17</v>
      </c>
    </row>
    <row r="216" spans="1:13" x14ac:dyDescent="0.35">
      <c r="A216" t="s">
        <v>1030</v>
      </c>
      <c r="B216" t="s">
        <v>1031</v>
      </c>
      <c r="C216" t="s">
        <v>215</v>
      </c>
      <c r="D216" s="8">
        <v>46089</v>
      </c>
      <c r="E216" s="8">
        <v>46094</v>
      </c>
      <c r="F216" s="8">
        <v>46103</v>
      </c>
      <c r="G216" t="s">
        <v>593</v>
      </c>
      <c r="H216" s="6">
        <v>16890</v>
      </c>
      <c r="I216" s="6">
        <v>9843</v>
      </c>
      <c r="J216" s="6">
        <v>9362</v>
      </c>
      <c r="K216" t="s">
        <v>581</v>
      </c>
      <c r="L216">
        <v>9</v>
      </c>
    </row>
    <row r="217" spans="1:13" x14ac:dyDescent="0.35">
      <c r="A217" t="s">
        <v>1032</v>
      </c>
      <c r="B217" t="s">
        <v>1033</v>
      </c>
      <c r="C217" t="s">
        <v>180</v>
      </c>
      <c r="D217" s="8">
        <v>46085</v>
      </c>
      <c r="E217" s="8">
        <v>46096</v>
      </c>
      <c r="F217" s="8">
        <v>46110</v>
      </c>
      <c r="G217" t="s">
        <v>580</v>
      </c>
      <c r="H217" s="6">
        <v>189</v>
      </c>
      <c r="I217" s="6">
        <v>118</v>
      </c>
      <c r="J217" s="6">
        <v>115</v>
      </c>
      <c r="K217" t="s">
        <v>581</v>
      </c>
      <c r="L217">
        <v>14</v>
      </c>
    </row>
    <row r="218" spans="1:13" x14ac:dyDescent="0.35">
      <c r="A218" t="s">
        <v>1034</v>
      </c>
      <c r="B218" t="s">
        <v>1035</v>
      </c>
      <c r="C218" t="s">
        <v>183</v>
      </c>
      <c r="D218" s="8">
        <v>46027</v>
      </c>
      <c r="E218" s="8">
        <v>46043</v>
      </c>
      <c r="G218" t="s">
        <v>584</v>
      </c>
      <c r="H218" s="6">
        <v>10524</v>
      </c>
      <c r="I218" s="6">
        <v>8383</v>
      </c>
      <c r="J218" s="6">
        <v>0</v>
      </c>
      <c r="K218" t="s">
        <v>671</v>
      </c>
      <c r="L218">
        <v>127</v>
      </c>
      <c r="M218" t="s">
        <v>725</v>
      </c>
    </row>
    <row r="219" spans="1:13" x14ac:dyDescent="0.35">
      <c r="A219" t="s">
        <v>1036</v>
      </c>
      <c r="B219" t="s">
        <v>1037</v>
      </c>
      <c r="C219" t="s">
        <v>158</v>
      </c>
      <c r="D219" s="8">
        <v>46148</v>
      </c>
      <c r="E219" s="8">
        <v>46151</v>
      </c>
      <c r="F219" s="8">
        <v>46163</v>
      </c>
      <c r="G219" t="s">
        <v>593</v>
      </c>
      <c r="H219" s="6">
        <v>12854</v>
      </c>
      <c r="I219" s="6">
        <v>6679</v>
      </c>
      <c r="J219" s="6">
        <v>6397</v>
      </c>
      <c r="K219" t="s">
        <v>581</v>
      </c>
      <c r="L219">
        <v>12</v>
      </c>
    </row>
    <row r="220" spans="1:13" x14ac:dyDescent="0.35">
      <c r="A220" t="s">
        <v>1038</v>
      </c>
      <c r="B220" t="s">
        <v>1039</v>
      </c>
      <c r="C220" t="s">
        <v>380</v>
      </c>
      <c r="D220" s="8">
        <v>46063</v>
      </c>
      <c r="E220" s="8">
        <v>46080</v>
      </c>
      <c r="G220" t="s">
        <v>593</v>
      </c>
      <c r="H220" s="6">
        <v>8978</v>
      </c>
      <c r="I220" s="6">
        <v>4497</v>
      </c>
      <c r="J220" s="6">
        <v>0</v>
      </c>
      <c r="K220" t="s">
        <v>671</v>
      </c>
      <c r="L220">
        <v>90</v>
      </c>
      <c r="M220" t="s">
        <v>855</v>
      </c>
    </row>
    <row r="221" spans="1:13" x14ac:dyDescent="0.35">
      <c r="A221" t="s">
        <v>1040</v>
      </c>
      <c r="B221" t="s">
        <v>1041</v>
      </c>
      <c r="C221" t="s">
        <v>266</v>
      </c>
      <c r="D221" s="8">
        <v>46048</v>
      </c>
      <c r="E221" s="8">
        <v>46053</v>
      </c>
      <c r="F221" s="8">
        <v>46073</v>
      </c>
      <c r="G221" t="s">
        <v>588</v>
      </c>
      <c r="H221" s="6">
        <v>16103</v>
      </c>
      <c r="I221" s="6">
        <v>13512</v>
      </c>
      <c r="J221" s="6">
        <v>13256</v>
      </c>
      <c r="K221" t="s">
        <v>581</v>
      </c>
      <c r="L221">
        <v>20</v>
      </c>
    </row>
    <row r="222" spans="1:13" x14ac:dyDescent="0.35">
      <c r="A222" t="s">
        <v>1042</v>
      </c>
      <c r="B222" t="s">
        <v>1043</v>
      </c>
      <c r="C222" t="s">
        <v>348</v>
      </c>
      <c r="D222" s="8">
        <v>46133</v>
      </c>
      <c r="E222" s="8">
        <v>46147</v>
      </c>
      <c r="F222" s="8">
        <v>46160</v>
      </c>
      <c r="G222" t="s">
        <v>596</v>
      </c>
      <c r="H222" s="6">
        <v>2770</v>
      </c>
      <c r="I222" s="6">
        <v>2246</v>
      </c>
      <c r="J222" s="6">
        <v>2151</v>
      </c>
      <c r="K222" t="s">
        <v>581</v>
      </c>
      <c r="L222">
        <v>13</v>
      </c>
    </row>
    <row r="223" spans="1:13" x14ac:dyDescent="0.35">
      <c r="A223" t="s">
        <v>1044</v>
      </c>
      <c r="B223" t="s">
        <v>1045</v>
      </c>
      <c r="C223" t="s">
        <v>466</v>
      </c>
      <c r="D223" s="8">
        <v>46160</v>
      </c>
      <c r="E223" s="8">
        <v>46174</v>
      </c>
      <c r="F223" s="8">
        <v>46194</v>
      </c>
      <c r="G223" t="s">
        <v>588</v>
      </c>
      <c r="H223" s="6">
        <v>14820</v>
      </c>
      <c r="I223" s="6">
        <v>7096</v>
      </c>
      <c r="J223" s="6">
        <v>7061</v>
      </c>
      <c r="K223" t="s">
        <v>581</v>
      </c>
      <c r="L223">
        <v>20</v>
      </c>
    </row>
    <row r="224" spans="1:13" x14ac:dyDescent="0.35">
      <c r="A224" t="s">
        <v>1046</v>
      </c>
      <c r="B224" t="s">
        <v>1047</v>
      </c>
      <c r="C224" t="s">
        <v>212</v>
      </c>
      <c r="D224" s="8">
        <v>46015</v>
      </c>
      <c r="E224" s="8">
        <v>46032</v>
      </c>
      <c r="F224" s="8">
        <v>46057</v>
      </c>
      <c r="G224" t="s">
        <v>584</v>
      </c>
      <c r="H224" s="6">
        <v>11840</v>
      </c>
      <c r="I224" s="6">
        <v>8735</v>
      </c>
      <c r="J224" s="6">
        <v>8517</v>
      </c>
      <c r="K224" t="s">
        <v>581</v>
      </c>
      <c r="L224">
        <v>25</v>
      </c>
    </row>
    <row r="225" spans="1:13" x14ac:dyDescent="0.35">
      <c r="A225" t="s">
        <v>1048</v>
      </c>
      <c r="B225" t="s">
        <v>1049</v>
      </c>
      <c r="C225" t="s">
        <v>35</v>
      </c>
      <c r="D225" s="8">
        <v>46134</v>
      </c>
      <c r="E225" s="8">
        <v>46142</v>
      </c>
      <c r="F225" s="8">
        <v>46147</v>
      </c>
      <c r="G225" t="s">
        <v>596</v>
      </c>
      <c r="H225" s="6">
        <v>6541</v>
      </c>
      <c r="I225" s="6">
        <v>4548</v>
      </c>
      <c r="J225" s="6">
        <v>4329</v>
      </c>
      <c r="K225" t="s">
        <v>581</v>
      </c>
      <c r="L225">
        <v>5</v>
      </c>
    </row>
    <row r="226" spans="1:13" x14ac:dyDescent="0.35">
      <c r="A226" t="s">
        <v>1050</v>
      </c>
      <c r="B226" t="s">
        <v>1051</v>
      </c>
      <c r="C226" t="s">
        <v>109</v>
      </c>
      <c r="D226" s="8">
        <v>46049</v>
      </c>
      <c r="E226" s="8">
        <v>46057</v>
      </c>
      <c r="F226" s="8">
        <v>46091</v>
      </c>
      <c r="G226" t="s">
        <v>580</v>
      </c>
      <c r="H226" s="6">
        <v>6138</v>
      </c>
      <c r="I226" s="6">
        <v>3068</v>
      </c>
      <c r="J226" s="6">
        <v>875</v>
      </c>
      <c r="K226" t="s">
        <v>607</v>
      </c>
      <c r="L226">
        <v>113</v>
      </c>
      <c r="M226" t="s">
        <v>746</v>
      </c>
    </row>
    <row r="227" spans="1:13" x14ac:dyDescent="0.35">
      <c r="A227" t="s">
        <v>1052</v>
      </c>
      <c r="B227" t="s">
        <v>1053</v>
      </c>
      <c r="C227" t="s">
        <v>506</v>
      </c>
      <c r="D227" s="8">
        <v>46072</v>
      </c>
      <c r="E227" s="8">
        <v>46076</v>
      </c>
      <c r="G227" t="s">
        <v>580</v>
      </c>
      <c r="H227" s="6">
        <v>10387</v>
      </c>
      <c r="I227" s="6">
        <v>7373</v>
      </c>
      <c r="J227" s="6">
        <v>0</v>
      </c>
      <c r="K227" t="s">
        <v>585</v>
      </c>
      <c r="L227">
        <v>94</v>
      </c>
    </row>
    <row r="228" spans="1:13" x14ac:dyDescent="0.35">
      <c r="A228" t="s">
        <v>1054</v>
      </c>
      <c r="B228" t="s">
        <v>1055</v>
      </c>
      <c r="C228" t="s">
        <v>468</v>
      </c>
      <c r="D228" s="8">
        <v>46088</v>
      </c>
      <c r="E228" s="8">
        <v>46093</v>
      </c>
      <c r="F228" s="8">
        <v>46114</v>
      </c>
      <c r="G228" t="s">
        <v>584</v>
      </c>
      <c r="H228" s="6">
        <v>3097</v>
      </c>
      <c r="I228" s="6">
        <v>1426</v>
      </c>
      <c r="J228" s="6">
        <v>1408</v>
      </c>
      <c r="K228" t="s">
        <v>581</v>
      </c>
      <c r="L228">
        <v>21</v>
      </c>
    </row>
    <row r="229" spans="1:13" x14ac:dyDescent="0.35">
      <c r="A229" t="s">
        <v>1056</v>
      </c>
      <c r="B229" t="s">
        <v>1057</v>
      </c>
      <c r="C229" t="s">
        <v>360</v>
      </c>
      <c r="D229" s="8">
        <v>46073</v>
      </c>
      <c r="E229" s="8">
        <v>46078</v>
      </c>
      <c r="F229" s="8">
        <v>46099</v>
      </c>
      <c r="G229" t="s">
        <v>593</v>
      </c>
      <c r="H229" s="6">
        <v>1496</v>
      </c>
      <c r="I229" s="6">
        <v>957</v>
      </c>
      <c r="J229" s="6">
        <v>910</v>
      </c>
      <c r="K229" t="s">
        <v>581</v>
      </c>
      <c r="L229">
        <v>21</v>
      </c>
    </row>
    <row r="230" spans="1:13" x14ac:dyDescent="0.35">
      <c r="A230" t="s">
        <v>1058</v>
      </c>
      <c r="B230" t="s">
        <v>1059</v>
      </c>
      <c r="C230" t="s">
        <v>204</v>
      </c>
      <c r="D230" s="8">
        <v>46102</v>
      </c>
      <c r="E230" s="8">
        <v>46109</v>
      </c>
      <c r="F230" s="8">
        <v>46118</v>
      </c>
      <c r="G230" t="s">
        <v>593</v>
      </c>
      <c r="H230" s="6">
        <v>4139</v>
      </c>
      <c r="I230" s="6">
        <v>3031</v>
      </c>
      <c r="J230" s="6">
        <v>2945</v>
      </c>
      <c r="K230" t="s">
        <v>581</v>
      </c>
      <c r="L230">
        <v>9</v>
      </c>
    </row>
    <row r="231" spans="1:13" x14ac:dyDescent="0.35">
      <c r="A231" t="s">
        <v>1060</v>
      </c>
      <c r="B231" t="s">
        <v>1061</v>
      </c>
      <c r="C231" t="s">
        <v>218</v>
      </c>
      <c r="D231" s="8">
        <v>46074</v>
      </c>
      <c r="E231" s="8">
        <v>46088</v>
      </c>
      <c r="F231" s="8">
        <v>46113</v>
      </c>
      <c r="G231" t="s">
        <v>596</v>
      </c>
      <c r="H231" s="6">
        <v>7976</v>
      </c>
      <c r="I231" s="6">
        <v>6195</v>
      </c>
      <c r="J231" s="6">
        <v>6065</v>
      </c>
      <c r="K231" t="s">
        <v>581</v>
      </c>
      <c r="L231">
        <v>25</v>
      </c>
    </row>
    <row r="232" spans="1:13" x14ac:dyDescent="0.35">
      <c r="A232" t="s">
        <v>1062</v>
      </c>
      <c r="B232" t="s">
        <v>1063</v>
      </c>
      <c r="C232" t="s">
        <v>551</v>
      </c>
      <c r="D232" s="8">
        <v>46112</v>
      </c>
      <c r="E232" s="8">
        <v>46115</v>
      </c>
      <c r="F232" s="8">
        <v>46130</v>
      </c>
      <c r="G232" t="s">
        <v>584</v>
      </c>
      <c r="H232" s="6">
        <v>2800</v>
      </c>
      <c r="I232" s="6">
        <v>1715</v>
      </c>
      <c r="J232" s="6">
        <v>1677</v>
      </c>
      <c r="K232" t="s">
        <v>581</v>
      </c>
      <c r="L232">
        <v>15</v>
      </c>
    </row>
    <row r="233" spans="1:13" x14ac:dyDescent="0.35">
      <c r="A233" t="s">
        <v>1064</v>
      </c>
      <c r="B233" t="s">
        <v>1065</v>
      </c>
      <c r="C233" t="s">
        <v>542</v>
      </c>
      <c r="D233" s="8">
        <v>46013</v>
      </c>
      <c r="E233" s="8">
        <v>46025</v>
      </c>
      <c r="F233" s="8">
        <v>46050</v>
      </c>
      <c r="G233" t="s">
        <v>588</v>
      </c>
      <c r="H233" s="6">
        <v>12473</v>
      </c>
      <c r="I233" s="6">
        <v>6013</v>
      </c>
      <c r="J233" s="6">
        <v>5864</v>
      </c>
      <c r="K233" t="s">
        <v>581</v>
      </c>
      <c r="L233">
        <v>25</v>
      </c>
    </row>
    <row r="234" spans="1:13" x14ac:dyDescent="0.35">
      <c r="A234" t="s">
        <v>1066</v>
      </c>
      <c r="B234" t="s">
        <v>1067</v>
      </c>
      <c r="C234" t="s">
        <v>319</v>
      </c>
      <c r="D234" s="8">
        <v>46088</v>
      </c>
      <c r="E234" s="8">
        <v>46101</v>
      </c>
      <c r="F234" s="8">
        <v>46116</v>
      </c>
      <c r="G234" t="s">
        <v>580</v>
      </c>
      <c r="H234" s="6">
        <v>3063</v>
      </c>
      <c r="I234" s="6">
        <v>1826</v>
      </c>
      <c r="J234" s="6">
        <v>1821</v>
      </c>
      <c r="K234" t="s">
        <v>581</v>
      </c>
      <c r="L234">
        <v>15</v>
      </c>
    </row>
    <row r="235" spans="1:13" x14ac:dyDescent="0.35">
      <c r="A235" t="s">
        <v>1068</v>
      </c>
      <c r="B235" t="s">
        <v>1069</v>
      </c>
      <c r="C235" t="s">
        <v>325</v>
      </c>
      <c r="D235" s="8">
        <v>46085</v>
      </c>
      <c r="E235" s="8">
        <v>46101</v>
      </c>
      <c r="G235" t="s">
        <v>593</v>
      </c>
      <c r="H235" s="6">
        <v>775</v>
      </c>
      <c r="I235" s="6">
        <v>384</v>
      </c>
      <c r="J235" s="6">
        <v>0</v>
      </c>
      <c r="K235" t="s">
        <v>671</v>
      </c>
      <c r="L235">
        <v>69</v>
      </c>
      <c r="M235" t="s">
        <v>672</v>
      </c>
    </row>
    <row r="236" spans="1:13" x14ac:dyDescent="0.35">
      <c r="A236" t="s">
        <v>1070</v>
      </c>
      <c r="B236" t="s">
        <v>1071</v>
      </c>
      <c r="C236" t="s">
        <v>360</v>
      </c>
      <c r="D236" s="8">
        <v>46049</v>
      </c>
      <c r="E236" s="8">
        <v>46064</v>
      </c>
      <c r="F236" s="8">
        <v>46072</v>
      </c>
      <c r="G236" t="s">
        <v>593</v>
      </c>
      <c r="H236" s="6">
        <v>17089</v>
      </c>
      <c r="I236" s="6">
        <v>11722</v>
      </c>
      <c r="J236" s="6">
        <v>11149</v>
      </c>
      <c r="K236" t="s">
        <v>581</v>
      </c>
      <c r="L236">
        <v>8</v>
      </c>
    </row>
    <row r="237" spans="1:13" x14ac:dyDescent="0.35">
      <c r="A237" t="s">
        <v>1072</v>
      </c>
      <c r="B237" t="s">
        <v>1073</v>
      </c>
      <c r="C237" t="s">
        <v>483</v>
      </c>
      <c r="D237" s="8">
        <v>46149</v>
      </c>
      <c r="E237" s="8">
        <v>46160</v>
      </c>
      <c r="F237" s="8">
        <v>46171</v>
      </c>
      <c r="G237" t="s">
        <v>584</v>
      </c>
      <c r="H237" s="6">
        <v>11025</v>
      </c>
      <c r="I237" s="6">
        <v>6029</v>
      </c>
      <c r="J237" s="6">
        <v>5826</v>
      </c>
      <c r="K237" t="s">
        <v>581</v>
      </c>
      <c r="L237">
        <v>11</v>
      </c>
    </row>
    <row r="238" spans="1:13" x14ac:dyDescent="0.35">
      <c r="A238" t="s">
        <v>1074</v>
      </c>
      <c r="B238" t="s">
        <v>1075</v>
      </c>
      <c r="C238" t="s">
        <v>120</v>
      </c>
      <c r="D238" s="8">
        <v>46101</v>
      </c>
      <c r="E238" s="8">
        <v>46107</v>
      </c>
      <c r="F238" s="8">
        <v>46121</v>
      </c>
      <c r="G238" t="s">
        <v>584</v>
      </c>
      <c r="H238" s="6">
        <v>10887</v>
      </c>
      <c r="I238" s="6">
        <v>7174</v>
      </c>
      <c r="J238" s="6">
        <v>0</v>
      </c>
      <c r="K238" t="s">
        <v>653</v>
      </c>
      <c r="L238">
        <v>14</v>
      </c>
      <c r="M238" t="s">
        <v>874</v>
      </c>
    </row>
    <row r="239" spans="1:13" x14ac:dyDescent="0.35">
      <c r="A239" t="s">
        <v>1076</v>
      </c>
      <c r="B239" t="s">
        <v>1077</v>
      </c>
      <c r="C239" t="s">
        <v>369</v>
      </c>
      <c r="D239" s="8">
        <v>46154</v>
      </c>
      <c r="E239" s="8">
        <v>46166</v>
      </c>
      <c r="F239" s="8">
        <v>46176</v>
      </c>
      <c r="G239" t="s">
        <v>588</v>
      </c>
      <c r="H239" s="6">
        <v>15820</v>
      </c>
      <c r="I239" s="6">
        <v>13166</v>
      </c>
      <c r="J239" s="6">
        <v>12642</v>
      </c>
      <c r="K239" t="s">
        <v>581</v>
      </c>
      <c r="L239">
        <v>10</v>
      </c>
    </row>
    <row r="240" spans="1:13" x14ac:dyDescent="0.35">
      <c r="A240" t="s">
        <v>1078</v>
      </c>
      <c r="B240" t="s">
        <v>1079</v>
      </c>
      <c r="C240" t="s">
        <v>149</v>
      </c>
      <c r="D240" s="8">
        <v>46102</v>
      </c>
      <c r="E240" s="8">
        <v>46116</v>
      </c>
      <c r="F240" s="8">
        <v>46126</v>
      </c>
      <c r="G240" t="s">
        <v>588</v>
      </c>
      <c r="H240" s="6">
        <v>4679</v>
      </c>
      <c r="I240" s="6">
        <v>3813</v>
      </c>
      <c r="J240" s="6">
        <v>3806</v>
      </c>
      <c r="K240" t="s">
        <v>581</v>
      </c>
      <c r="L240">
        <v>10</v>
      </c>
    </row>
    <row r="241" spans="1:13" x14ac:dyDescent="0.35">
      <c r="A241" t="s">
        <v>1080</v>
      </c>
      <c r="B241" t="s">
        <v>1081</v>
      </c>
      <c r="C241" t="s">
        <v>163</v>
      </c>
      <c r="D241" s="8">
        <v>46072</v>
      </c>
      <c r="E241" s="8">
        <v>46089</v>
      </c>
      <c r="F241" s="8">
        <v>46112</v>
      </c>
      <c r="G241" t="s">
        <v>593</v>
      </c>
      <c r="H241" s="6">
        <v>10332</v>
      </c>
      <c r="I241" s="6">
        <v>5934</v>
      </c>
      <c r="J241" s="6">
        <v>5751</v>
      </c>
      <c r="K241" t="s">
        <v>581</v>
      </c>
      <c r="L241">
        <v>23</v>
      </c>
    </row>
    <row r="242" spans="1:13" x14ac:dyDescent="0.35">
      <c r="A242" t="s">
        <v>1082</v>
      </c>
      <c r="B242" t="s">
        <v>1083</v>
      </c>
      <c r="C242" t="s">
        <v>333</v>
      </c>
      <c r="D242" s="8">
        <v>46136</v>
      </c>
      <c r="E242" s="8">
        <v>46146</v>
      </c>
      <c r="G242" t="s">
        <v>596</v>
      </c>
      <c r="H242" s="6">
        <v>4666</v>
      </c>
      <c r="I242" s="6">
        <v>2167</v>
      </c>
      <c r="J242" s="6">
        <v>0</v>
      </c>
      <c r="K242" t="s">
        <v>671</v>
      </c>
      <c r="L242">
        <v>24</v>
      </c>
      <c r="M242" t="s">
        <v>675</v>
      </c>
    </row>
    <row r="243" spans="1:13" x14ac:dyDescent="0.35">
      <c r="A243" t="s">
        <v>1084</v>
      </c>
      <c r="B243" t="s">
        <v>1085</v>
      </c>
      <c r="C243" t="s">
        <v>204</v>
      </c>
      <c r="D243" s="8">
        <v>46031</v>
      </c>
      <c r="E243" s="8">
        <v>46039</v>
      </c>
      <c r="G243" t="s">
        <v>596</v>
      </c>
      <c r="H243" s="6">
        <v>697</v>
      </c>
      <c r="I243" s="6">
        <v>500</v>
      </c>
      <c r="J243" s="6">
        <v>0</v>
      </c>
      <c r="K243" t="s">
        <v>585</v>
      </c>
      <c r="L243">
        <v>131</v>
      </c>
    </row>
    <row r="244" spans="1:13" x14ac:dyDescent="0.35">
      <c r="A244" t="s">
        <v>1086</v>
      </c>
      <c r="B244" t="s">
        <v>1087</v>
      </c>
      <c r="C244" t="s">
        <v>218</v>
      </c>
      <c r="D244" s="8">
        <v>46032</v>
      </c>
      <c r="E244" s="8">
        <v>46044</v>
      </c>
      <c r="G244" t="s">
        <v>588</v>
      </c>
      <c r="H244" s="6">
        <v>10365</v>
      </c>
      <c r="I244" s="6">
        <v>6844</v>
      </c>
      <c r="J244" s="6">
        <v>0</v>
      </c>
      <c r="K244" t="s">
        <v>585</v>
      </c>
      <c r="L244">
        <v>126</v>
      </c>
    </row>
    <row r="245" spans="1:13" x14ac:dyDescent="0.35">
      <c r="A245" t="s">
        <v>1088</v>
      </c>
      <c r="B245" t="s">
        <v>1089</v>
      </c>
      <c r="C245" t="s">
        <v>527</v>
      </c>
      <c r="D245" s="8">
        <v>46120</v>
      </c>
      <c r="E245" s="8">
        <v>46131</v>
      </c>
      <c r="F245" s="8">
        <v>46151</v>
      </c>
      <c r="G245" t="s">
        <v>588</v>
      </c>
      <c r="H245" s="6">
        <v>17059</v>
      </c>
      <c r="I245" s="6">
        <v>13986</v>
      </c>
      <c r="J245" s="6">
        <v>13587</v>
      </c>
      <c r="K245" t="s">
        <v>581</v>
      </c>
      <c r="L245">
        <v>20</v>
      </c>
    </row>
    <row r="246" spans="1:13" x14ac:dyDescent="0.35">
      <c r="A246" t="s">
        <v>1090</v>
      </c>
      <c r="B246" t="s">
        <v>1091</v>
      </c>
      <c r="C246" t="s">
        <v>224</v>
      </c>
      <c r="D246" s="8">
        <v>46150</v>
      </c>
      <c r="E246" s="8">
        <v>46163</v>
      </c>
      <c r="F246" s="8">
        <v>46170</v>
      </c>
      <c r="G246" t="s">
        <v>584</v>
      </c>
      <c r="H246" s="6">
        <v>10078</v>
      </c>
      <c r="I246" s="6">
        <v>5798</v>
      </c>
      <c r="J246" s="6">
        <v>5643</v>
      </c>
      <c r="K246" t="s">
        <v>581</v>
      </c>
      <c r="L246">
        <v>7</v>
      </c>
    </row>
    <row r="247" spans="1:13" x14ac:dyDescent="0.35">
      <c r="A247" t="s">
        <v>1092</v>
      </c>
      <c r="B247" t="s">
        <v>1093</v>
      </c>
      <c r="C247" t="s">
        <v>488</v>
      </c>
      <c r="D247" s="8">
        <v>46041</v>
      </c>
      <c r="E247" s="8">
        <v>46046</v>
      </c>
      <c r="F247" s="8">
        <v>46070</v>
      </c>
      <c r="G247" t="s">
        <v>584</v>
      </c>
      <c r="H247" s="6">
        <v>1086</v>
      </c>
      <c r="I247" s="6">
        <v>627</v>
      </c>
      <c r="J247" s="6">
        <v>612</v>
      </c>
      <c r="K247" t="s">
        <v>581</v>
      </c>
      <c r="L247">
        <v>24</v>
      </c>
    </row>
    <row r="248" spans="1:13" x14ac:dyDescent="0.35">
      <c r="A248" t="s">
        <v>1094</v>
      </c>
      <c r="B248" t="s">
        <v>1095</v>
      </c>
      <c r="C248" t="s">
        <v>218</v>
      </c>
      <c r="D248" s="8">
        <v>46039</v>
      </c>
      <c r="E248" s="8">
        <v>46049</v>
      </c>
      <c r="F248" s="8">
        <v>46063</v>
      </c>
      <c r="G248" t="s">
        <v>584</v>
      </c>
      <c r="H248" s="6">
        <v>11882</v>
      </c>
      <c r="I248" s="6">
        <v>7936</v>
      </c>
      <c r="J248" s="6">
        <v>7685</v>
      </c>
      <c r="K248" t="s">
        <v>581</v>
      </c>
      <c r="L248">
        <v>14</v>
      </c>
    </row>
    <row r="249" spans="1:13" x14ac:dyDescent="0.35">
      <c r="A249" t="s">
        <v>1096</v>
      </c>
      <c r="B249" t="s">
        <v>1097</v>
      </c>
      <c r="C249" t="s">
        <v>186</v>
      </c>
      <c r="D249" s="8">
        <v>46014</v>
      </c>
      <c r="E249" s="8">
        <v>46031</v>
      </c>
      <c r="F249" s="8">
        <v>46044</v>
      </c>
      <c r="G249" t="s">
        <v>580</v>
      </c>
      <c r="H249" s="6">
        <v>11902</v>
      </c>
      <c r="I249" s="6">
        <v>5723</v>
      </c>
      <c r="J249" s="6">
        <v>5654</v>
      </c>
      <c r="K249" t="s">
        <v>581</v>
      </c>
      <c r="L249">
        <v>13</v>
      </c>
    </row>
    <row r="250" spans="1:13" x14ac:dyDescent="0.35">
      <c r="A250" t="s">
        <v>1098</v>
      </c>
      <c r="B250" t="s">
        <v>1099</v>
      </c>
      <c r="C250" t="s">
        <v>94</v>
      </c>
      <c r="D250" s="8">
        <v>46135</v>
      </c>
      <c r="E250" s="8">
        <v>46138</v>
      </c>
      <c r="F250" s="8">
        <v>46151</v>
      </c>
      <c r="G250" t="s">
        <v>584</v>
      </c>
      <c r="H250" s="6">
        <v>1415</v>
      </c>
      <c r="I250" s="6">
        <v>856</v>
      </c>
      <c r="J250" s="6">
        <v>850</v>
      </c>
      <c r="K250" t="s">
        <v>581</v>
      </c>
      <c r="L250">
        <v>13</v>
      </c>
    </row>
    <row r="251" spans="1:13" x14ac:dyDescent="0.35">
      <c r="A251" t="s">
        <v>1100</v>
      </c>
      <c r="B251" t="s">
        <v>1101</v>
      </c>
      <c r="C251" t="s">
        <v>269</v>
      </c>
      <c r="D251" s="8">
        <v>46019</v>
      </c>
      <c r="E251" s="8">
        <v>46032</v>
      </c>
      <c r="F251" s="8">
        <v>46047</v>
      </c>
      <c r="G251" t="s">
        <v>584</v>
      </c>
      <c r="H251" s="6">
        <v>16349</v>
      </c>
      <c r="I251" s="6">
        <v>9180</v>
      </c>
      <c r="J251" s="6">
        <v>9076</v>
      </c>
      <c r="K251" t="s">
        <v>581</v>
      </c>
      <c r="L251">
        <v>15</v>
      </c>
    </row>
    <row r="252" spans="1:13" x14ac:dyDescent="0.35">
      <c r="A252" t="s">
        <v>1102</v>
      </c>
      <c r="B252" t="s">
        <v>1103</v>
      </c>
      <c r="C252" t="s">
        <v>496</v>
      </c>
      <c r="D252" s="8">
        <v>46084</v>
      </c>
      <c r="E252" s="8">
        <v>46089</v>
      </c>
      <c r="F252" s="8">
        <v>46114</v>
      </c>
      <c r="G252" t="s">
        <v>580</v>
      </c>
      <c r="H252" s="6">
        <v>808</v>
      </c>
      <c r="I252" s="6">
        <v>408</v>
      </c>
      <c r="J252" s="6">
        <v>198</v>
      </c>
      <c r="K252" t="s">
        <v>607</v>
      </c>
      <c r="L252">
        <v>81</v>
      </c>
      <c r="M252" t="s">
        <v>608</v>
      </c>
    </row>
    <row r="253" spans="1:13" x14ac:dyDescent="0.35">
      <c r="A253" t="s">
        <v>1104</v>
      </c>
      <c r="B253" t="s">
        <v>1105</v>
      </c>
      <c r="C253" t="s">
        <v>556</v>
      </c>
      <c r="D253" s="8">
        <v>46024</v>
      </c>
      <c r="E253" s="8">
        <v>46030</v>
      </c>
      <c r="G253" t="s">
        <v>580</v>
      </c>
      <c r="H253" s="6">
        <v>12556</v>
      </c>
      <c r="I253" s="6">
        <v>6499</v>
      </c>
      <c r="J253" s="6">
        <v>0</v>
      </c>
      <c r="K253" t="s">
        <v>585</v>
      </c>
      <c r="L253">
        <v>140</v>
      </c>
    </row>
    <row r="254" spans="1:13" x14ac:dyDescent="0.35">
      <c r="A254" t="s">
        <v>1106</v>
      </c>
      <c r="B254" t="s">
        <v>1107</v>
      </c>
      <c r="C254" t="s">
        <v>351</v>
      </c>
      <c r="D254" s="8">
        <v>46078</v>
      </c>
      <c r="E254" s="8">
        <v>46090</v>
      </c>
      <c r="F254" s="8">
        <v>46106</v>
      </c>
      <c r="G254" t="s">
        <v>596</v>
      </c>
      <c r="H254" s="6">
        <v>510</v>
      </c>
      <c r="I254" s="6">
        <v>339</v>
      </c>
      <c r="J254" s="6">
        <v>338</v>
      </c>
      <c r="K254" t="s">
        <v>581</v>
      </c>
      <c r="L254">
        <v>16</v>
      </c>
    </row>
    <row r="255" spans="1:13" x14ac:dyDescent="0.35">
      <c r="A255" t="s">
        <v>1108</v>
      </c>
      <c r="B255" t="s">
        <v>1109</v>
      </c>
      <c r="C255" t="s">
        <v>418</v>
      </c>
      <c r="D255" s="8">
        <v>46098</v>
      </c>
      <c r="E255" s="8">
        <v>46111</v>
      </c>
      <c r="F255" s="8">
        <v>46130</v>
      </c>
      <c r="G255" t="s">
        <v>596</v>
      </c>
      <c r="H255" s="6">
        <v>9382</v>
      </c>
      <c r="I255" s="6">
        <v>6593</v>
      </c>
      <c r="J255" s="6">
        <v>6372</v>
      </c>
      <c r="K255" t="s">
        <v>581</v>
      </c>
      <c r="L255">
        <v>19</v>
      </c>
    </row>
    <row r="256" spans="1:13" x14ac:dyDescent="0.35">
      <c r="A256" t="s">
        <v>1110</v>
      </c>
      <c r="B256" t="s">
        <v>1111</v>
      </c>
      <c r="C256" t="s">
        <v>357</v>
      </c>
      <c r="D256" s="8">
        <v>46093</v>
      </c>
      <c r="E256" s="8">
        <v>46101</v>
      </c>
      <c r="F256" s="8">
        <v>46122</v>
      </c>
      <c r="G256" t="s">
        <v>580</v>
      </c>
      <c r="H256" s="6">
        <v>757</v>
      </c>
      <c r="I256" s="6">
        <v>436</v>
      </c>
      <c r="J256" s="6">
        <v>429</v>
      </c>
      <c r="K256" t="s">
        <v>581</v>
      </c>
      <c r="L256">
        <v>21</v>
      </c>
    </row>
    <row r="257" spans="1:12" x14ac:dyDescent="0.35">
      <c r="A257" t="s">
        <v>1112</v>
      </c>
      <c r="B257" t="s">
        <v>1113</v>
      </c>
      <c r="C257" t="s">
        <v>556</v>
      </c>
      <c r="D257" s="8">
        <v>46128</v>
      </c>
      <c r="E257" s="8">
        <v>46142</v>
      </c>
      <c r="G257" t="s">
        <v>580</v>
      </c>
      <c r="H257" s="6">
        <v>7521</v>
      </c>
      <c r="I257" s="6">
        <v>6091</v>
      </c>
      <c r="J257" s="6">
        <v>0</v>
      </c>
      <c r="K257" t="s">
        <v>585</v>
      </c>
      <c r="L257">
        <v>28</v>
      </c>
    </row>
    <row r="258" spans="1:12" x14ac:dyDescent="0.35">
      <c r="A258" t="s">
        <v>1114</v>
      </c>
      <c r="B258" t="s">
        <v>1115</v>
      </c>
      <c r="C258" t="s">
        <v>83</v>
      </c>
      <c r="D258" s="8">
        <v>46063</v>
      </c>
      <c r="E258" s="8">
        <v>46071</v>
      </c>
      <c r="G258" t="s">
        <v>596</v>
      </c>
      <c r="H258" s="6">
        <v>9906</v>
      </c>
      <c r="I258" s="6">
        <v>8003</v>
      </c>
      <c r="J258" s="6">
        <v>0</v>
      </c>
      <c r="K258" t="s">
        <v>585</v>
      </c>
      <c r="L258">
        <v>99</v>
      </c>
    </row>
    <row r="259" spans="1:12" x14ac:dyDescent="0.35">
      <c r="A259" t="s">
        <v>1116</v>
      </c>
      <c r="B259" t="s">
        <v>1117</v>
      </c>
      <c r="C259" t="s">
        <v>369</v>
      </c>
      <c r="D259" s="8">
        <v>46017</v>
      </c>
      <c r="E259" s="8">
        <v>46032</v>
      </c>
      <c r="G259" t="s">
        <v>593</v>
      </c>
      <c r="H259" s="6">
        <v>16801</v>
      </c>
      <c r="I259" s="6">
        <v>12831</v>
      </c>
      <c r="J259" s="6">
        <v>0</v>
      </c>
      <c r="K259" t="s">
        <v>585</v>
      </c>
      <c r="L259">
        <v>138</v>
      </c>
    </row>
    <row r="260" spans="1:12" x14ac:dyDescent="0.35">
      <c r="A260" t="s">
        <v>1118</v>
      </c>
      <c r="B260" t="s">
        <v>1119</v>
      </c>
      <c r="C260" t="s">
        <v>120</v>
      </c>
      <c r="D260" s="8">
        <v>46128</v>
      </c>
      <c r="E260" s="8">
        <v>46145</v>
      </c>
      <c r="F260" s="8">
        <v>46163</v>
      </c>
      <c r="G260" t="s">
        <v>596</v>
      </c>
      <c r="H260" s="6">
        <v>15169</v>
      </c>
      <c r="I260" s="6">
        <v>8470</v>
      </c>
      <c r="J260" s="6">
        <v>8082</v>
      </c>
      <c r="K260" t="s">
        <v>581</v>
      </c>
      <c r="L260">
        <v>18</v>
      </c>
    </row>
    <row r="261" spans="1:12" x14ac:dyDescent="0.35">
      <c r="A261" t="s">
        <v>1120</v>
      </c>
      <c r="B261" t="s">
        <v>1121</v>
      </c>
      <c r="C261" t="s">
        <v>513</v>
      </c>
      <c r="D261" s="8">
        <v>46095</v>
      </c>
      <c r="E261" s="8">
        <v>46100</v>
      </c>
      <c r="F261" s="8">
        <v>46106</v>
      </c>
      <c r="G261" t="s">
        <v>593</v>
      </c>
      <c r="H261" s="6">
        <v>2981</v>
      </c>
      <c r="I261" s="6">
        <v>2436</v>
      </c>
      <c r="J261" s="6">
        <v>2373</v>
      </c>
      <c r="K261" t="s">
        <v>581</v>
      </c>
      <c r="L261">
        <v>6</v>
      </c>
    </row>
    <row r="262" spans="1:12" x14ac:dyDescent="0.35">
      <c r="A262" t="s">
        <v>1122</v>
      </c>
      <c r="B262" t="s">
        <v>1123</v>
      </c>
      <c r="C262" t="s">
        <v>301</v>
      </c>
      <c r="D262" s="8">
        <v>46018</v>
      </c>
      <c r="E262" s="8">
        <v>46021</v>
      </c>
      <c r="F262" s="8">
        <v>46036</v>
      </c>
      <c r="G262" t="s">
        <v>584</v>
      </c>
      <c r="H262" s="6">
        <v>3537</v>
      </c>
      <c r="I262" s="6">
        <v>2611</v>
      </c>
      <c r="J262" s="6">
        <v>2560</v>
      </c>
      <c r="K262" t="s">
        <v>581</v>
      </c>
      <c r="L262">
        <v>15</v>
      </c>
    </row>
    <row r="263" spans="1:12" x14ac:dyDescent="0.35">
      <c r="A263" t="s">
        <v>1124</v>
      </c>
      <c r="B263" t="s">
        <v>1125</v>
      </c>
      <c r="C263" t="s">
        <v>240</v>
      </c>
      <c r="D263" s="8">
        <v>46057</v>
      </c>
      <c r="E263" s="8">
        <v>46074</v>
      </c>
      <c r="G263" t="s">
        <v>580</v>
      </c>
      <c r="H263" s="6">
        <v>4911</v>
      </c>
      <c r="I263" s="6">
        <v>3093</v>
      </c>
      <c r="J263" s="6">
        <v>0</v>
      </c>
      <c r="K263" t="s">
        <v>585</v>
      </c>
      <c r="L263">
        <v>96</v>
      </c>
    </row>
    <row r="264" spans="1:12" x14ac:dyDescent="0.35">
      <c r="A264" t="s">
        <v>1126</v>
      </c>
      <c r="B264" t="s">
        <v>1127</v>
      </c>
      <c r="C264" t="s">
        <v>102</v>
      </c>
      <c r="D264" s="8">
        <v>46038</v>
      </c>
      <c r="E264" s="8">
        <v>46044</v>
      </c>
      <c r="F264" s="8">
        <v>46063</v>
      </c>
      <c r="G264" t="s">
        <v>580</v>
      </c>
      <c r="H264" s="6">
        <v>3105</v>
      </c>
      <c r="I264" s="6">
        <v>2107</v>
      </c>
      <c r="J264" s="6">
        <v>2101</v>
      </c>
      <c r="K264" t="s">
        <v>581</v>
      </c>
      <c r="L264">
        <v>19</v>
      </c>
    </row>
    <row r="265" spans="1:12" x14ac:dyDescent="0.35">
      <c r="A265" t="s">
        <v>1128</v>
      </c>
      <c r="B265" t="s">
        <v>1129</v>
      </c>
      <c r="C265" t="s">
        <v>129</v>
      </c>
      <c r="D265" s="8">
        <v>46154</v>
      </c>
      <c r="E265" s="8">
        <v>46162</v>
      </c>
      <c r="F265" s="8">
        <v>46168</v>
      </c>
      <c r="G265" t="s">
        <v>580</v>
      </c>
      <c r="H265" s="6">
        <v>15081</v>
      </c>
      <c r="I265" s="6">
        <v>11132</v>
      </c>
      <c r="J265" s="6">
        <v>10687</v>
      </c>
      <c r="K265" t="s">
        <v>581</v>
      </c>
      <c r="L265">
        <v>6</v>
      </c>
    </row>
    <row r="266" spans="1:12" x14ac:dyDescent="0.35">
      <c r="A266" t="s">
        <v>1130</v>
      </c>
      <c r="B266" t="s">
        <v>1131</v>
      </c>
      <c r="C266" t="s">
        <v>123</v>
      </c>
      <c r="D266" s="8">
        <v>46016</v>
      </c>
      <c r="E266" s="8">
        <v>46029</v>
      </c>
      <c r="F266" s="8">
        <v>46043</v>
      </c>
      <c r="G266" t="s">
        <v>593</v>
      </c>
      <c r="H266" s="6">
        <v>17012</v>
      </c>
      <c r="I266" s="6">
        <v>8895</v>
      </c>
      <c r="J266" s="6">
        <v>8590</v>
      </c>
      <c r="K266" t="s">
        <v>581</v>
      </c>
      <c r="L266">
        <v>14</v>
      </c>
    </row>
    <row r="267" spans="1:12" x14ac:dyDescent="0.35">
      <c r="A267" t="s">
        <v>1132</v>
      </c>
      <c r="B267" t="s">
        <v>1133</v>
      </c>
      <c r="C267" t="s">
        <v>152</v>
      </c>
      <c r="D267" s="8">
        <v>46132</v>
      </c>
      <c r="E267" s="8">
        <v>46136</v>
      </c>
      <c r="F267" s="8">
        <v>46158</v>
      </c>
      <c r="G267" t="s">
        <v>580</v>
      </c>
      <c r="H267" s="6">
        <v>5099</v>
      </c>
      <c r="I267" s="6">
        <v>4208</v>
      </c>
      <c r="J267" s="6">
        <v>4013</v>
      </c>
      <c r="K267" t="s">
        <v>581</v>
      </c>
      <c r="L267">
        <v>22</v>
      </c>
    </row>
    <row r="268" spans="1:12" x14ac:dyDescent="0.35">
      <c r="A268" t="s">
        <v>1134</v>
      </c>
      <c r="B268" t="s">
        <v>1135</v>
      </c>
      <c r="C268" t="s">
        <v>106</v>
      </c>
      <c r="D268" s="8">
        <v>46088</v>
      </c>
      <c r="E268" s="8">
        <v>46103</v>
      </c>
      <c r="F268" s="8">
        <v>46117</v>
      </c>
      <c r="G268" t="s">
        <v>593</v>
      </c>
      <c r="H268" s="6">
        <v>16830</v>
      </c>
      <c r="I268" s="6">
        <v>13884</v>
      </c>
      <c r="J268" s="6">
        <v>13788</v>
      </c>
      <c r="K268" t="s">
        <v>581</v>
      </c>
      <c r="L268">
        <v>14</v>
      </c>
    </row>
    <row r="269" spans="1:12" x14ac:dyDescent="0.35">
      <c r="A269" t="s">
        <v>1136</v>
      </c>
      <c r="B269" t="s">
        <v>1137</v>
      </c>
      <c r="C269" t="s">
        <v>454</v>
      </c>
      <c r="D269" s="8">
        <v>46148</v>
      </c>
      <c r="E269" s="8">
        <v>46156</v>
      </c>
      <c r="G269" t="s">
        <v>593</v>
      </c>
      <c r="H269" s="6">
        <v>13158</v>
      </c>
      <c r="I269" s="6">
        <v>6456</v>
      </c>
      <c r="J269" s="6">
        <v>0</v>
      </c>
      <c r="K269" t="s">
        <v>585</v>
      </c>
      <c r="L269">
        <v>14</v>
      </c>
    </row>
    <row r="270" spans="1:12" x14ac:dyDescent="0.35">
      <c r="A270" t="s">
        <v>1138</v>
      </c>
      <c r="B270" t="s">
        <v>1139</v>
      </c>
      <c r="C270" t="s">
        <v>375</v>
      </c>
      <c r="D270" s="8">
        <v>46054</v>
      </c>
      <c r="E270" s="8">
        <v>46060</v>
      </c>
      <c r="F270" s="8">
        <v>46078</v>
      </c>
      <c r="G270" t="s">
        <v>593</v>
      </c>
      <c r="H270" s="6">
        <v>4549</v>
      </c>
      <c r="I270" s="6">
        <v>2820</v>
      </c>
      <c r="J270" s="6">
        <v>2789</v>
      </c>
      <c r="K270" t="s">
        <v>581</v>
      </c>
      <c r="L270">
        <v>18</v>
      </c>
    </row>
    <row r="271" spans="1:12" x14ac:dyDescent="0.35">
      <c r="A271" t="s">
        <v>1140</v>
      </c>
      <c r="B271" t="s">
        <v>1141</v>
      </c>
      <c r="C271" t="s">
        <v>551</v>
      </c>
      <c r="D271" s="8">
        <v>46153</v>
      </c>
      <c r="E271" s="8">
        <v>46162</v>
      </c>
      <c r="F271" s="8">
        <v>46184</v>
      </c>
      <c r="G271" t="s">
        <v>580</v>
      </c>
      <c r="H271" s="6">
        <v>2228</v>
      </c>
      <c r="I271" s="6">
        <v>1346</v>
      </c>
      <c r="J271" s="6">
        <v>1342</v>
      </c>
      <c r="K271" t="s">
        <v>581</v>
      </c>
      <c r="L271">
        <v>22</v>
      </c>
    </row>
    <row r="272" spans="1:12" x14ac:dyDescent="0.35">
      <c r="A272" t="s">
        <v>1142</v>
      </c>
      <c r="B272" t="s">
        <v>1143</v>
      </c>
      <c r="C272" t="s">
        <v>542</v>
      </c>
      <c r="D272" s="8">
        <v>46120</v>
      </c>
      <c r="E272" s="8">
        <v>46130</v>
      </c>
      <c r="F272" s="8">
        <v>46144</v>
      </c>
      <c r="G272" t="s">
        <v>588</v>
      </c>
      <c r="H272" s="6">
        <v>9431</v>
      </c>
      <c r="I272" s="6">
        <v>7076</v>
      </c>
      <c r="J272" s="6">
        <v>6982</v>
      </c>
      <c r="K272" t="s">
        <v>581</v>
      </c>
      <c r="L272">
        <v>14</v>
      </c>
    </row>
    <row r="273" spans="1:13" x14ac:dyDescent="0.35">
      <c r="A273" t="s">
        <v>1144</v>
      </c>
      <c r="B273" t="s">
        <v>1145</v>
      </c>
      <c r="C273" t="s">
        <v>212</v>
      </c>
      <c r="D273" s="8">
        <v>46019</v>
      </c>
      <c r="E273" s="8">
        <v>46025</v>
      </c>
      <c r="G273" t="s">
        <v>584</v>
      </c>
      <c r="H273" s="6">
        <v>13143</v>
      </c>
      <c r="I273" s="6">
        <v>7373</v>
      </c>
      <c r="J273" s="6">
        <v>0</v>
      </c>
      <c r="K273" t="s">
        <v>671</v>
      </c>
      <c r="L273">
        <v>145</v>
      </c>
      <c r="M273" t="s">
        <v>725</v>
      </c>
    </row>
    <row r="274" spans="1:13" x14ac:dyDescent="0.35">
      <c r="A274" t="s">
        <v>1146</v>
      </c>
      <c r="B274" t="s">
        <v>1147</v>
      </c>
      <c r="C274" t="s">
        <v>240</v>
      </c>
      <c r="D274" s="8">
        <v>46150</v>
      </c>
      <c r="E274" s="8">
        <v>46166</v>
      </c>
      <c r="F274" s="8">
        <v>46193</v>
      </c>
      <c r="G274" t="s">
        <v>584</v>
      </c>
      <c r="H274" s="6">
        <v>6638</v>
      </c>
      <c r="I274" s="6">
        <v>3696</v>
      </c>
      <c r="J274" s="6">
        <v>0</v>
      </c>
      <c r="K274" t="s">
        <v>653</v>
      </c>
      <c r="L274">
        <v>27</v>
      </c>
      <c r="M274" t="s">
        <v>874</v>
      </c>
    </row>
    <row r="275" spans="1:13" x14ac:dyDescent="0.35">
      <c r="A275" t="s">
        <v>1148</v>
      </c>
      <c r="B275" t="s">
        <v>1149</v>
      </c>
      <c r="C275" t="s">
        <v>163</v>
      </c>
      <c r="D275" s="8">
        <v>46141</v>
      </c>
      <c r="E275" s="8">
        <v>46153</v>
      </c>
      <c r="F275" s="8">
        <v>46177</v>
      </c>
      <c r="G275" t="s">
        <v>584</v>
      </c>
      <c r="H275" s="6">
        <v>11451</v>
      </c>
      <c r="I275" s="6">
        <v>9142</v>
      </c>
      <c r="J275" s="6">
        <v>8888</v>
      </c>
      <c r="K275" t="s">
        <v>581</v>
      </c>
      <c r="L275">
        <v>24</v>
      </c>
    </row>
    <row r="276" spans="1:13" x14ac:dyDescent="0.35">
      <c r="A276" t="s">
        <v>1150</v>
      </c>
      <c r="B276" t="s">
        <v>1151</v>
      </c>
      <c r="C276" t="s">
        <v>478</v>
      </c>
      <c r="D276" s="8">
        <v>46150</v>
      </c>
      <c r="E276" s="8">
        <v>46159</v>
      </c>
      <c r="F276" s="8">
        <v>46183</v>
      </c>
      <c r="G276" t="s">
        <v>593</v>
      </c>
      <c r="H276" s="6">
        <v>11518</v>
      </c>
      <c r="I276" s="6">
        <v>8834</v>
      </c>
      <c r="J276" s="6">
        <v>8673</v>
      </c>
      <c r="K276" t="s">
        <v>581</v>
      </c>
      <c r="L276">
        <v>24</v>
      </c>
    </row>
    <row r="277" spans="1:13" x14ac:dyDescent="0.35">
      <c r="A277" t="s">
        <v>1152</v>
      </c>
      <c r="B277" t="s">
        <v>1153</v>
      </c>
      <c r="C277" t="s">
        <v>424</v>
      </c>
      <c r="D277" s="8">
        <v>46087</v>
      </c>
      <c r="E277" s="8">
        <v>46097</v>
      </c>
      <c r="G277" t="s">
        <v>596</v>
      </c>
      <c r="H277" s="6">
        <v>1387</v>
      </c>
      <c r="I277" s="6">
        <v>1148</v>
      </c>
      <c r="J277" s="6">
        <v>0</v>
      </c>
      <c r="K277" t="s">
        <v>585</v>
      </c>
      <c r="L277">
        <v>73</v>
      </c>
    </row>
    <row r="278" spans="1:13" x14ac:dyDescent="0.35">
      <c r="A278" t="s">
        <v>1154</v>
      </c>
      <c r="B278" t="s">
        <v>1155</v>
      </c>
      <c r="C278" t="s">
        <v>416</v>
      </c>
      <c r="D278" s="8">
        <v>46069</v>
      </c>
      <c r="E278" s="8">
        <v>46084</v>
      </c>
      <c r="F278" s="8">
        <v>46092</v>
      </c>
      <c r="G278" t="s">
        <v>584</v>
      </c>
      <c r="H278" s="6">
        <v>16961</v>
      </c>
      <c r="I278" s="6">
        <v>13638</v>
      </c>
      <c r="J278" s="6">
        <v>0</v>
      </c>
      <c r="K278" t="s">
        <v>653</v>
      </c>
      <c r="L278">
        <v>8</v>
      </c>
      <c r="M278" t="s">
        <v>694</v>
      </c>
    </row>
    <row r="279" spans="1:13" x14ac:dyDescent="0.35">
      <c r="A279" t="s">
        <v>1156</v>
      </c>
      <c r="B279" t="s">
        <v>1157</v>
      </c>
      <c r="C279" t="s">
        <v>227</v>
      </c>
      <c r="D279" s="8">
        <v>46054</v>
      </c>
      <c r="E279" s="8">
        <v>46065</v>
      </c>
      <c r="F279" s="8">
        <v>46077</v>
      </c>
      <c r="G279" t="s">
        <v>588</v>
      </c>
      <c r="H279" s="6">
        <v>7331</v>
      </c>
      <c r="I279" s="6">
        <v>5260</v>
      </c>
      <c r="J279" s="6">
        <v>0</v>
      </c>
      <c r="K279" t="s">
        <v>653</v>
      </c>
      <c r="L279">
        <v>12</v>
      </c>
      <c r="M279" t="s">
        <v>741</v>
      </c>
    </row>
    <row r="280" spans="1:13" x14ac:dyDescent="0.35">
      <c r="A280" t="s">
        <v>1158</v>
      </c>
      <c r="B280" t="s">
        <v>1159</v>
      </c>
      <c r="C280" t="s">
        <v>174</v>
      </c>
      <c r="D280" s="8">
        <v>46139</v>
      </c>
      <c r="E280" s="8">
        <v>46149</v>
      </c>
      <c r="F280" s="8">
        <v>46171</v>
      </c>
      <c r="G280" t="s">
        <v>596</v>
      </c>
      <c r="H280" s="6">
        <v>11759</v>
      </c>
      <c r="I280" s="6">
        <v>5436</v>
      </c>
      <c r="J280" s="6">
        <v>5192</v>
      </c>
      <c r="K280" t="s">
        <v>581</v>
      </c>
      <c r="L280">
        <v>22</v>
      </c>
    </row>
    <row r="281" spans="1:13" x14ac:dyDescent="0.35">
      <c r="A281" t="s">
        <v>1160</v>
      </c>
      <c r="B281" t="s">
        <v>1161</v>
      </c>
      <c r="C281" t="s">
        <v>135</v>
      </c>
      <c r="D281" s="8">
        <v>46097</v>
      </c>
      <c r="E281" s="8">
        <v>46112</v>
      </c>
      <c r="F281" s="8">
        <v>46119</v>
      </c>
      <c r="G281" t="s">
        <v>580</v>
      </c>
      <c r="H281" s="6">
        <v>7039</v>
      </c>
      <c r="I281" s="6">
        <v>3706</v>
      </c>
      <c r="J281" s="6">
        <v>3687</v>
      </c>
      <c r="K281" t="s">
        <v>581</v>
      </c>
      <c r="L281">
        <v>7</v>
      </c>
    </row>
    <row r="282" spans="1:13" x14ac:dyDescent="0.35">
      <c r="A282" t="s">
        <v>1162</v>
      </c>
      <c r="B282" t="s">
        <v>1163</v>
      </c>
      <c r="C282" t="s">
        <v>215</v>
      </c>
      <c r="D282" s="8">
        <v>46020</v>
      </c>
      <c r="E282" s="8">
        <v>46029</v>
      </c>
      <c r="F282" s="8">
        <v>46042</v>
      </c>
      <c r="G282" t="s">
        <v>593</v>
      </c>
      <c r="H282" s="6">
        <v>4510</v>
      </c>
      <c r="I282" s="6">
        <v>2108</v>
      </c>
      <c r="J282" s="6">
        <v>2013</v>
      </c>
      <c r="K282" t="s">
        <v>581</v>
      </c>
      <c r="L282">
        <v>13</v>
      </c>
    </row>
    <row r="283" spans="1:13" x14ac:dyDescent="0.35">
      <c r="A283" t="s">
        <v>1164</v>
      </c>
      <c r="B283" t="s">
        <v>1165</v>
      </c>
      <c r="C283" t="s">
        <v>152</v>
      </c>
      <c r="D283" s="8">
        <v>46013</v>
      </c>
      <c r="E283" s="8">
        <v>46028</v>
      </c>
      <c r="F283" s="8">
        <v>46043</v>
      </c>
      <c r="G283" t="s">
        <v>593</v>
      </c>
      <c r="H283" s="6">
        <v>3812</v>
      </c>
      <c r="I283" s="6">
        <v>3117</v>
      </c>
      <c r="J283" s="6">
        <v>3034</v>
      </c>
      <c r="K283" t="s">
        <v>581</v>
      </c>
      <c r="L283">
        <v>15</v>
      </c>
    </row>
    <row r="284" spans="1:13" x14ac:dyDescent="0.35">
      <c r="A284" t="s">
        <v>1166</v>
      </c>
      <c r="B284" t="s">
        <v>1167</v>
      </c>
      <c r="C284" t="s">
        <v>391</v>
      </c>
      <c r="D284" s="8">
        <v>46085</v>
      </c>
      <c r="E284" s="8">
        <v>46096</v>
      </c>
      <c r="F284" s="8">
        <v>46119</v>
      </c>
      <c r="G284" t="s">
        <v>593</v>
      </c>
      <c r="H284" s="6">
        <v>10299</v>
      </c>
      <c r="I284" s="6">
        <v>6578</v>
      </c>
      <c r="J284" s="6">
        <v>6462</v>
      </c>
      <c r="K284" t="s">
        <v>581</v>
      </c>
      <c r="L284">
        <v>23</v>
      </c>
    </row>
    <row r="285" spans="1:13" x14ac:dyDescent="0.35">
      <c r="A285" t="s">
        <v>1168</v>
      </c>
      <c r="B285" t="s">
        <v>1169</v>
      </c>
      <c r="C285" t="s">
        <v>272</v>
      </c>
      <c r="D285" s="8">
        <v>46099</v>
      </c>
      <c r="E285" s="8">
        <v>46113</v>
      </c>
      <c r="G285" t="s">
        <v>584</v>
      </c>
      <c r="H285" s="6">
        <v>2421</v>
      </c>
      <c r="I285" s="6">
        <v>2044</v>
      </c>
      <c r="J285" s="6">
        <v>0</v>
      </c>
      <c r="K285" t="s">
        <v>585</v>
      </c>
      <c r="L285">
        <v>57</v>
      </c>
    </row>
    <row r="286" spans="1:13" x14ac:dyDescent="0.35">
      <c r="A286" t="s">
        <v>1170</v>
      </c>
      <c r="B286" t="s">
        <v>1171</v>
      </c>
      <c r="C286" t="s">
        <v>399</v>
      </c>
      <c r="D286" s="8">
        <v>46088</v>
      </c>
      <c r="E286" s="8">
        <v>46106</v>
      </c>
      <c r="F286" s="8">
        <v>46129</v>
      </c>
      <c r="G286" t="s">
        <v>580</v>
      </c>
      <c r="H286" s="6">
        <v>11439</v>
      </c>
      <c r="I286" s="6">
        <v>5906</v>
      </c>
      <c r="J286" s="6">
        <v>5678</v>
      </c>
      <c r="K286" t="s">
        <v>581</v>
      </c>
      <c r="L286">
        <v>23</v>
      </c>
    </row>
    <row r="287" spans="1:13" x14ac:dyDescent="0.35">
      <c r="A287" t="s">
        <v>1172</v>
      </c>
      <c r="B287" t="s">
        <v>1173</v>
      </c>
      <c r="C287" t="s">
        <v>135</v>
      </c>
      <c r="D287" s="8">
        <v>46041</v>
      </c>
      <c r="E287" s="8">
        <v>46052</v>
      </c>
      <c r="F287" s="8">
        <v>46071</v>
      </c>
      <c r="G287" t="s">
        <v>584</v>
      </c>
      <c r="H287" s="6">
        <v>5733</v>
      </c>
      <c r="I287" s="6">
        <v>2960</v>
      </c>
      <c r="J287" s="6">
        <v>2858</v>
      </c>
      <c r="K287" t="s">
        <v>581</v>
      </c>
      <c r="L287">
        <v>19</v>
      </c>
    </row>
    <row r="288" spans="1:13" x14ac:dyDescent="0.35">
      <c r="A288" t="s">
        <v>1174</v>
      </c>
      <c r="B288" t="s">
        <v>1175</v>
      </c>
      <c r="C288" t="s">
        <v>296</v>
      </c>
      <c r="D288" s="8">
        <v>46122</v>
      </c>
      <c r="E288" s="8">
        <v>46136</v>
      </c>
      <c r="F288" s="8">
        <v>46143</v>
      </c>
      <c r="G288" t="s">
        <v>593</v>
      </c>
      <c r="H288" s="6">
        <v>14385</v>
      </c>
      <c r="I288" s="6">
        <v>9293</v>
      </c>
      <c r="J288" s="6">
        <v>9015</v>
      </c>
      <c r="K288" t="s">
        <v>581</v>
      </c>
      <c r="L288">
        <v>7</v>
      </c>
    </row>
    <row r="289" spans="1:13" x14ac:dyDescent="0.35">
      <c r="A289" t="s">
        <v>1176</v>
      </c>
      <c r="B289" t="s">
        <v>1177</v>
      </c>
      <c r="C289" t="s">
        <v>145</v>
      </c>
      <c r="D289" s="8">
        <v>46042</v>
      </c>
      <c r="E289" s="8">
        <v>46046</v>
      </c>
      <c r="F289" s="8">
        <v>46070</v>
      </c>
      <c r="G289" t="s">
        <v>580</v>
      </c>
      <c r="H289" s="6">
        <v>9411</v>
      </c>
      <c r="I289" s="6">
        <v>6618</v>
      </c>
      <c r="J289" s="6">
        <v>6509</v>
      </c>
      <c r="K289" t="s">
        <v>581</v>
      </c>
      <c r="L289">
        <v>24</v>
      </c>
    </row>
    <row r="290" spans="1:13" x14ac:dyDescent="0.35">
      <c r="A290" t="s">
        <v>1178</v>
      </c>
      <c r="B290" t="s">
        <v>1179</v>
      </c>
      <c r="C290" t="s">
        <v>360</v>
      </c>
      <c r="D290" s="8">
        <v>46140</v>
      </c>
      <c r="E290" s="8">
        <v>46158</v>
      </c>
      <c r="F290" s="8">
        <v>46163</v>
      </c>
      <c r="G290" t="s">
        <v>588</v>
      </c>
      <c r="H290" s="6">
        <v>5637</v>
      </c>
      <c r="I290" s="6">
        <v>3432</v>
      </c>
      <c r="J290" s="6">
        <v>3314</v>
      </c>
      <c r="K290" t="s">
        <v>581</v>
      </c>
      <c r="L290">
        <v>5</v>
      </c>
    </row>
    <row r="291" spans="1:13" x14ac:dyDescent="0.35">
      <c r="A291" t="s">
        <v>1180</v>
      </c>
      <c r="B291" t="s">
        <v>1181</v>
      </c>
      <c r="C291" t="s">
        <v>230</v>
      </c>
      <c r="D291" s="8">
        <v>46117</v>
      </c>
      <c r="E291" s="8">
        <v>46135</v>
      </c>
      <c r="F291" s="8">
        <v>46145</v>
      </c>
      <c r="G291" t="s">
        <v>588</v>
      </c>
      <c r="H291" s="6">
        <v>538</v>
      </c>
      <c r="I291" s="6">
        <v>382</v>
      </c>
      <c r="J291" s="6">
        <v>0</v>
      </c>
      <c r="K291" t="s">
        <v>653</v>
      </c>
      <c r="L291">
        <v>10</v>
      </c>
      <c r="M291" t="s">
        <v>694</v>
      </c>
    </row>
    <row r="292" spans="1:13" x14ac:dyDescent="0.35">
      <c r="A292" t="s">
        <v>1182</v>
      </c>
      <c r="B292" t="s">
        <v>1183</v>
      </c>
      <c r="C292" t="s">
        <v>243</v>
      </c>
      <c r="D292" s="8">
        <v>46059</v>
      </c>
      <c r="E292" s="8">
        <v>46064</v>
      </c>
      <c r="F292" s="8">
        <v>46082</v>
      </c>
      <c r="G292" t="s">
        <v>580</v>
      </c>
      <c r="H292" s="6">
        <v>17591</v>
      </c>
      <c r="I292" s="6">
        <v>11343</v>
      </c>
      <c r="J292" s="6">
        <v>11231</v>
      </c>
      <c r="K292" t="s">
        <v>581</v>
      </c>
      <c r="L292">
        <v>18</v>
      </c>
    </row>
    <row r="293" spans="1:13" x14ac:dyDescent="0.35">
      <c r="A293" t="s">
        <v>1184</v>
      </c>
      <c r="B293" t="s">
        <v>1185</v>
      </c>
      <c r="C293" t="s">
        <v>275</v>
      </c>
      <c r="D293" s="8">
        <v>46108</v>
      </c>
      <c r="E293" s="8">
        <v>46124</v>
      </c>
      <c r="F293" s="8">
        <v>46130</v>
      </c>
      <c r="G293" t="s">
        <v>596</v>
      </c>
      <c r="H293" s="6">
        <v>16469</v>
      </c>
      <c r="I293" s="6">
        <v>12425</v>
      </c>
      <c r="J293" s="6">
        <v>12392</v>
      </c>
      <c r="K293" t="s">
        <v>581</v>
      </c>
      <c r="L293">
        <v>6</v>
      </c>
    </row>
    <row r="294" spans="1:13" x14ac:dyDescent="0.35">
      <c r="A294" t="s">
        <v>1186</v>
      </c>
      <c r="B294" t="s">
        <v>1187</v>
      </c>
      <c r="C294" t="s">
        <v>210</v>
      </c>
      <c r="D294" s="8">
        <v>46038</v>
      </c>
      <c r="E294" s="8">
        <v>46047</v>
      </c>
      <c r="F294" s="8">
        <v>46081</v>
      </c>
      <c r="G294" t="s">
        <v>593</v>
      </c>
      <c r="H294" s="6">
        <v>6021</v>
      </c>
      <c r="I294" s="6">
        <v>3795</v>
      </c>
      <c r="J294" s="6">
        <v>76</v>
      </c>
      <c r="K294" t="s">
        <v>607</v>
      </c>
      <c r="L294">
        <v>123</v>
      </c>
      <c r="M294" t="s">
        <v>608</v>
      </c>
    </row>
    <row r="295" spans="1:13" x14ac:dyDescent="0.35">
      <c r="A295" t="s">
        <v>1188</v>
      </c>
      <c r="B295" t="s">
        <v>1189</v>
      </c>
      <c r="C295" t="s">
        <v>98</v>
      </c>
      <c r="D295" s="8">
        <v>46137</v>
      </c>
      <c r="E295" s="8">
        <v>46148</v>
      </c>
      <c r="F295" s="8">
        <v>46155</v>
      </c>
      <c r="G295" t="s">
        <v>584</v>
      </c>
      <c r="H295" s="6">
        <v>17235</v>
      </c>
      <c r="I295" s="6">
        <v>12323</v>
      </c>
      <c r="J295" s="6">
        <v>11900</v>
      </c>
      <c r="K295" t="s">
        <v>581</v>
      </c>
      <c r="L295">
        <v>7</v>
      </c>
    </row>
    <row r="296" spans="1:13" x14ac:dyDescent="0.35">
      <c r="A296" t="s">
        <v>1190</v>
      </c>
      <c r="B296" t="s">
        <v>1191</v>
      </c>
      <c r="C296" t="s">
        <v>193</v>
      </c>
      <c r="D296" s="8">
        <v>46078</v>
      </c>
      <c r="E296" s="8">
        <v>46085</v>
      </c>
      <c r="F296" s="8">
        <v>46096</v>
      </c>
      <c r="G296" t="s">
        <v>593</v>
      </c>
      <c r="H296" s="6">
        <v>8239</v>
      </c>
      <c r="I296" s="6">
        <v>5109</v>
      </c>
      <c r="J296" s="6">
        <v>4938</v>
      </c>
      <c r="K296" t="s">
        <v>581</v>
      </c>
      <c r="L296">
        <v>11</v>
      </c>
    </row>
    <row r="297" spans="1:13" x14ac:dyDescent="0.35">
      <c r="A297" t="s">
        <v>1192</v>
      </c>
      <c r="B297" t="s">
        <v>1193</v>
      </c>
      <c r="C297" t="s">
        <v>519</v>
      </c>
      <c r="D297" s="8">
        <v>46125</v>
      </c>
      <c r="E297" s="8">
        <v>46142</v>
      </c>
      <c r="F297" s="8">
        <v>46167</v>
      </c>
      <c r="G297" t="s">
        <v>584</v>
      </c>
      <c r="H297" s="6">
        <v>13677</v>
      </c>
      <c r="I297" s="6">
        <v>9974</v>
      </c>
      <c r="J297" s="6">
        <v>9585</v>
      </c>
      <c r="K297" t="s">
        <v>581</v>
      </c>
      <c r="L297">
        <v>25</v>
      </c>
    </row>
    <row r="298" spans="1:13" x14ac:dyDescent="0.35">
      <c r="A298" t="s">
        <v>1194</v>
      </c>
      <c r="B298" t="s">
        <v>1195</v>
      </c>
      <c r="C298" t="s">
        <v>69</v>
      </c>
      <c r="D298" s="8">
        <v>46105</v>
      </c>
      <c r="E298" s="8">
        <v>46120</v>
      </c>
      <c r="F298" s="8">
        <v>46142</v>
      </c>
      <c r="G298" t="s">
        <v>588</v>
      </c>
      <c r="H298" s="6">
        <v>11842</v>
      </c>
      <c r="I298" s="6">
        <v>7585</v>
      </c>
      <c r="J298" s="6">
        <v>7550</v>
      </c>
      <c r="K298" t="s">
        <v>581</v>
      </c>
      <c r="L298">
        <v>22</v>
      </c>
    </row>
    <row r="299" spans="1:13" x14ac:dyDescent="0.35">
      <c r="A299" t="s">
        <v>1196</v>
      </c>
      <c r="B299" t="s">
        <v>1197</v>
      </c>
      <c r="C299" t="s">
        <v>504</v>
      </c>
      <c r="D299" s="8">
        <v>46037</v>
      </c>
      <c r="E299" s="8">
        <v>46044</v>
      </c>
      <c r="F299" s="8">
        <v>46053</v>
      </c>
      <c r="G299" t="s">
        <v>584</v>
      </c>
      <c r="H299" s="6">
        <v>16831</v>
      </c>
      <c r="I299" s="6">
        <v>10872</v>
      </c>
      <c r="J299" s="6">
        <v>10504</v>
      </c>
      <c r="K299" t="s">
        <v>581</v>
      </c>
      <c r="L299">
        <v>9</v>
      </c>
    </row>
    <row r="300" spans="1:13" x14ac:dyDescent="0.35">
      <c r="A300" t="s">
        <v>1198</v>
      </c>
      <c r="B300" t="s">
        <v>1199</v>
      </c>
      <c r="C300" t="s">
        <v>432</v>
      </c>
      <c r="D300" s="8">
        <v>46025</v>
      </c>
      <c r="E300" s="8">
        <v>46030</v>
      </c>
      <c r="G300" t="s">
        <v>584</v>
      </c>
      <c r="H300" s="6">
        <v>6600</v>
      </c>
      <c r="I300" s="6">
        <v>3653</v>
      </c>
      <c r="J300" s="6">
        <v>0</v>
      </c>
      <c r="K300" t="s">
        <v>671</v>
      </c>
      <c r="L300">
        <v>140</v>
      </c>
      <c r="M300" t="s">
        <v>725</v>
      </c>
    </row>
    <row r="301" spans="1:13" x14ac:dyDescent="0.35">
      <c r="A301" t="s">
        <v>1200</v>
      </c>
      <c r="B301" t="s">
        <v>1201</v>
      </c>
      <c r="C301" t="s">
        <v>473</v>
      </c>
      <c r="D301" s="8">
        <v>46089</v>
      </c>
      <c r="E301" s="8">
        <v>46093</v>
      </c>
      <c r="F301" s="8">
        <v>46107</v>
      </c>
      <c r="G301" t="s">
        <v>593</v>
      </c>
      <c r="H301" s="6">
        <v>13374</v>
      </c>
      <c r="I301" s="6">
        <v>8246</v>
      </c>
      <c r="J301" s="6">
        <v>8095</v>
      </c>
      <c r="K301" t="s">
        <v>581</v>
      </c>
      <c r="L301">
        <v>14</v>
      </c>
    </row>
    <row r="302" spans="1:13" x14ac:dyDescent="0.35">
      <c r="A302" t="s">
        <v>1202</v>
      </c>
      <c r="B302" t="s">
        <v>1203</v>
      </c>
      <c r="C302" t="s">
        <v>149</v>
      </c>
      <c r="D302" s="8">
        <v>46126</v>
      </c>
      <c r="E302" s="8">
        <v>46137</v>
      </c>
      <c r="F302" s="8">
        <v>46160</v>
      </c>
      <c r="G302" t="s">
        <v>580</v>
      </c>
      <c r="H302" s="6">
        <v>8145</v>
      </c>
      <c r="I302" s="6">
        <v>5045</v>
      </c>
      <c r="J302" s="6">
        <v>4854</v>
      </c>
      <c r="K302" t="s">
        <v>581</v>
      </c>
      <c r="L302">
        <v>23</v>
      </c>
    </row>
    <row r="303" spans="1:13" x14ac:dyDescent="0.35">
      <c r="A303" t="s">
        <v>1204</v>
      </c>
      <c r="B303" t="s">
        <v>1205</v>
      </c>
      <c r="C303" t="s">
        <v>180</v>
      </c>
      <c r="D303" s="8">
        <v>46136</v>
      </c>
      <c r="E303" s="8">
        <v>46140</v>
      </c>
      <c r="G303" t="s">
        <v>593</v>
      </c>
      <c r="H303" s="6">
        <v>10050</v>
      </c>
      <c r="I303" s="6">
        <v>6256</v>
      </c>
      <c r="J303" s="6">
        <v>0</v>
      </c>
      <c r="K303" t="s">
        <v>585</v>
      </c>
      <c r="L303">
        <v>30</v>
      </c>
    </row>
    <row r="304" spans="1:13" x14ac:dyDescent="0.35">
      <c r="A304" t="s">
        <v>1206</v>
      </c>
      <c r="B304" t="s">
        <v>1207</v>
      </c>
      <c r="C304" t="s">
        <v>445</v>
      </c>
      <c r="D304" s="8">
        <v>46036</v>
      </c>
      <c r="E304" s="8">
        <v>46045</v>
      </c>
      <c r="F304" s="8">
        <v>46051</v>
      </c>
      <c r="G304" t="s">
        <v>584</v>
      </c>
      <c r="H304" s="6">
        <v>17999</v>
      </c>
      <c r="I304" s="6">
        <v>9531</v>
      </c>
      <c r="J304" s="6">
        <v>9395</v>
      </c>
      <c r="K304" t="s">
        <v>581</v>
      </c>
      <c r="L304">
        <v>6</v>
      </c>
    </row>
    <row r="305" spans="1:13" x14ac:dyDescent="0.35">
      <c r="A305" t="s">
        <v>1208</v>
      </c>
      <c r="B305" t="s">
        <v>1209</v>
      </c>
      <c r="C305" t="s">
        <v>488</v>
      </c>
      <c r="D305" s="8">
        <v>46097</v>
      </c>
      <c r="E305" s="8">
        <v>46113</v>
      </c>
      <c r="F305" s="8">
        <v>46136</v>
      </c>
      <c r="G305" t="s">
        <v>580</v>
      </c>
      <c r="H305" s="6">
        <v>5334</v>
      </c>
      <c r="I305" s="6">
        <v>3928</v>
      </c>
      <c r="J305" s="6">
        <v>3889</v>
      </c>
      <c r="K305" t="s">
        <v>581</v>
      </c>
      <c r="L305">
        <v>23</v>
      </c>
    </row>
    <row r="306" spans="1:13" x14ac:dyDescent="0.35">
      <c r="A306" t="s">
        <v>1210</v>
      </c>
      <c r="B306" t="s">
        <v>1211</v>
      </c>
      <c r="C306" t="s">
        <v>87</v>
      </c>
      <c r="D306" s="8">
        <v>46153</v>
      </c>
      <c r="E306" s="8">
        <v>46166</v>
      </c>
      <c r="F306" s="8">
        <v>46173</v>
      </c>
      <c r="G306" t="s">
        <v>580</v>
      </c>
      <c r="H306" s="6">
        <v>2585</v>
      </c>
      <c r="I306" s="6">
        <v>2093</v>
      </c>
      <c r="J306" s="6">
        <v>2002</v>
      </c>
      <c r="K306" t="s">
        <v>581</v>
      </c>
      <c r="L306">
        <v>7</v>
      </c>
    </row>
    <row r="307" spans="1:13" x14ac:dyDescent="0.35">
      <c r="A307" t="s">
        <v>1212</v>
      </c>
      <c r="B307" t="s">
        <v>1213</v>
      </c>
      <c r="C307" t="s">
        <v>328</v>
      </c>
      <c r="D307" s="8">
        <v>46058</v>
      </c>
      <c r="E307" s="8">
        <v>46062</v>
      </c>
      <c r="F307" s="8">
        <v>46083</v>
      </c>
      <c r="G307" t="s">
        <v>596</v>
      </c>
      <c r="H307" s="6">
        <v>10905</v>
      </c>
      <c r="I307" s="6">
        <v>9235</v>
      </c>
      <c r="J307" s="6">
        <v>8822</v>
      </c>
      <c r="K307" t="s">
        <v>581</v>
      </c>
      <c r="L307">
        <v>21</v>
      </c>
    </row>
    <row r="308" spans="1:13" x14ac:dyDescent="0.35">
      <c r="A308" t="s">
        <v>1214</v>
      </c>
      <c r="B308" t="s">
        <v>1215</v>
      </c>
      <c r="C308" t="s">
        <v>272</v>
      </c>
      <c r="D308" s="8">
        <v>46044</v>
      </c>
      <c r="E308" s="8">
        <v>46048</v>
      </c>
      <c r="F308" s="8">
        <v>46062</v>
      </c>
      <c r="G308" t="s">
        <v>588</v>
      </c>
      <c r="H308" s="6">
        <v>13484</v>
      </c>
      <c r="I308" s="6">
        <v>10174</v>
      </c>
      <c r="J308" s="6">
        <v>9671</v>
      </c>
      <c r="K308" t="s">
        <v>581</v>
      </c>
      <c r="L308">
        <v>14</v>
      </c>
    </row>
    <row r="309" spans="1:13" x14ac:dyDescent="0.35">
      <c r="A309" t="s">
        <v>1216</v>
      </c>
      <c r="B309" t="s">
        <v>1217</v>
      </c>
      <c r="C309" t="s">
        <v>218</v>
      </c>
      <c r="D309" s="8">
        <v>46011</v>
      </c>
      <c r="E309" s="8">
        <v>46014</v>
      </c>
      <c r="F309" s="8">
        <v>46033</v>
      </c>
      <c r="G309" t="s">
        <v>584</v>
      </c>
      <c r="H309" s="6">
        <v>10459</v>
      </c>
      <c r="I309" s="6">
        <v>6174</v>
      </c>
      <c r="J309" s="6">
        <v>5965</v>
      </c>
      <c r="K309" t="s">
        <v>581</v>
      </c>
      <c r="L309">
        <v>19</v>
      </c>
    </row>
    <row r="310" spans="1:13" x14ac:dyDescent="0.35">
      <c r="A310" t="s">
        <v>1218</v>
      </c>
      <c r="B310" t="s">
        <v>1219</v>
      </c>
      <c r="C310" t="s">
        <v>42</v>
      </c>
      <c r="D310" s="8">
        <v>46092</v>
      </c>
      <c r="E310" s="8">
        <v>46099</v>
      </c>
      <c r="F310" s="8">
        <v>46112</v>
      </c>
      <c r="G310" t="s">
        <v>593</v>
      </c>
      <c r="H310" s="6">
        <v>15869</v>
      </c>
      <c r="I310" s="6">
        <v>12814</v>
      </c>
      <c r="J310" s="6">
        <v>12480</v>
      </c>
      <c r="K310" t="s">
        <v>581</v>
      </c>
      <c r="L310">
        <v>13</v>
      </c>
    </row>
    <row r="311" spans="1:13" x14ac:dyDescent="0.35">
      <c r="A311" t="s">
        <v>1220</v>
      </c>
      <c r="B311" t="s">
        <v>1221</v>
      </c>
      <c r="C311" t="s">
        <v>498</v>
      </c>
      <c r="D311" s="8">
        <v>46124</v>
      </c>
      <c r="E311" s="8">
        <v>46140</v>
      </c>
      <c r="F311" s="8">
        <v>46156</v>
      </c>
      <c r="G311" t="s">
        <v>588</v>
      </c>
      <c r="H311" s="6">
        <v>17968</v>
      </c>
      <c r="I311" s="6">
        <v>11044</v>
      </c>
      <c r="J311" s="6">
        <v>11041</v>
      </c>
      <c r="K311" t="s">
        <v>581</v>
      </c>
      <c r="L311">
        <v>16</v>
      </c>
    </row>
    <row r="312" spans="1:13" x14ac:dyDescent="0.35">
      <c r="A312" t="s">
        <v>1222</v>
      </c>
      <c r="B312" t="s">
        <v>1223</v>
      </c>
      <c r="C312" t="s">
        <v>290</v>
      </c>
      <c r="D312" s="8">
        <v>46142</v>
      </c>
      <c r="E312" s="8">
        <v>46151</v>
      </c>
      <c r="F312" s="8">
        <v>46163</v>
      </c>
      <c r="G312" t="s">
        <v>580</v>
      </c>
      <c r="H312" s="6">
        <v>9935</v>
      </c>
      <c r="I312" s="6">
        <v>8017</v>
      </c>
      <c r="J312" s="6">
        <v>7981</v>
      </c>
      <c r="K312" t="s">
        <v>581</v>
      </c>
      <c r="L312">
        <v>12</v>
      </c>
    </row>
    <row r="313" spans="1:13" x14ac:dyDescent="0.35">
      <c r="A313" t="s">
        <v>1224</v>
      </c>
      <c r="B313" t="s">
        <v>1225</v>
      </c>
      <c r="C313" t="s">
        <v>556</v>
      </c>
      <c r="D313" s="8">
        <v>46081</v>
      </c>
      <c r="E313" s="8">
        <v>46092</v>
      </c>
      <c r="F313" s="8">
        <v>46110</v>
      </c>
      <c r="G313" t="s">
        <v>584</v>
      </c>
      <c r="H313" s="6">
        <v>1338</v>
      </c>
      <c r="I313" s="6">
        <v>726</v>
      </c>
      <c r="J313" s="6">
        <v>700</v>
      </c>
      <c r="K313" t="s">
        <v>581</v>
      </c>
      <c r="L313">
        <v>18</v>
      </c>
    </row>
    <row r="314" spans="1:13" x14ac:dyDescent="0.35">
      <c r="A314" t="s">
        <v>1226</v>
      </c>
      <c r="B314" t="s">
        <v>1227</v>
      </c>
      <c r="C314" t="s">
        <v>171</v>
      </c>
      <c r="D314" s="8">
        <v>46125</v>
      </c>
      <c r="E314" s="8">
        <v>46130</v>
      </c>
      <c r="F314" s="8">
        <v>46153</v>
      </c>
      <c r="G314" t="s">
        <v>584</v>
      </c>
      <c r="H314" s="6">
        <v>6745</v>
      </c>
      <c r="I314" s="6">
        <v>3975</v>
      </c>
      <c r="J314" s="6">
        <v>3885</v>
      </c>
      <c r="K314" t="s">
        <v>581</v>
      </c>
      <c r="L314">
        <v>23</v>
      </c>
    </row>
    <row r="315" spans="1:13" x14ac:dyDescent="0.35">
      <c r="A315" t="s">
        <v>1228</v>
      </c>
      <c r="B315" t="s">
        <v>1229</v>
      </c>
      <c r="C315" t="s">
        <v>496</v>
      </c>
      <c r="D315" s="8">
        <v>46080</v>
      </c>
      <c r="E315" s="8">
        <v>46086</v>
      </c>
      <c r="F315" s="8">
        <v>46098</v>
      </c>
      <c r="G315" t="s">
        <v>580</v>
      </c>
      <c r="H315" s="6">
        <v>14878</v>
      </c>
      <c r="I315" s="6">
        <v>9762</v>
      </c>
      <c r="J315" s="6">
        <v>9732</v>
      </c>
      <c r="K315" t="s">
        <v>581</v>
      </c>
      <c r="L315">
        <v>12</v>
      </c>
    </row>
    <row r="316" spans="1:13" x14ac:dyDescent="0.35">
      <c r="A316" t="s">
        <v>1230</v>
      </c>
      <c r="B316" t="s">
        <v>1231</v>
      </c>
      <c r="C316" t="s">
        <v>109</v>
      </c>
      <c r="D316" s="8">
        <v>46128</v>
      </c>
      <c r="E316" s="8">
        <v>46136</v>
      </c>
      <c r="F316" s="8">
        <v>46148</v>
      </c>
      <c r="G316" t="s">
        <v>588</v>
      </c>
      <c r="H316" s="6">
        <v>7051</v>
      </c>
      <c r="I316" s="6">
        <v>3346</v>
      </c>
      <c r="J316" s="6">
        <v>3251</v>
      </c>
      <c r="K316" t="s">
        <v>581</v>
      </c>
      <c r="L316">
        <v>12</v>
      </c>
    </row>
    <row r="317" spans="1:13" x14ac:dyDescent="0.35">
      <c r="A317" t="s">
        <v>1232</v>
      </c>
      <c r="B317" t="s">
        <v>1233</v>
      </c>
      <c r="C317" t="s">
        <v>94</v>
      </c>
      <c r="D317" s="8">
        <v>46048</v>
      </c>
      <c r="E317" s="8">
        <v>46060</v>
      </c>
      <c r="F317" s="8">
        <v>46070</v>
      </c>
      <c r="G317" t="s">
        <v>580</v>
      </c>
      <c r="H317" s="6">
        <v>8080</v>
      </c>
      <c r="I317" s="6">
        <v>3684</v>
      </c>
      <c r="J317" s="6">
        <v>3590</v>
      </c>
      <c r="K317" t="s">
        <v>581</v>
      </c>
      <c r="L317">
        <v>10</v>
      </c>
    </row>
    <row r="318" spans="1:13" x14ac:dyDescent="0.35">
      <c r="A318" t="s">
        <v>1234</v>
      </c>
      <c r="B318" t="s">
        <v>1235</v>
      </c>
      <c r="C318" t="s">
        <v>556</v>
      </c>
      <c r="D318" s="8">
        <v>46058</v>
      </c>
      <c r="E318" s="8">
        <v>46063</v>
      </c>
      <c r="G318" t="s">
        <v>584</v>
      </c>
      <c r="H318" s="6">
        <v>12811</v>
      </c>
      <c r="I318" s="6">
        <v>10665</v>
      </c>
      <c r="J318" s="6">
        <v>0</v>
      </c>
      <c r="K318" t="s">
        <v>671</v>
      </c>
      <c r="L318">
        <v>107</v>
      </c>
      <c r="M318" t="s">
        <v>672</v>
      </c>
    </row>
    <row r="319" spans="1:13" x14ac:dyDescent="0.35">
      <c r="A319" t="s">
        <v>1236</v>
      </c>
      <c r="B319" t="s">
        <v>1237</v>
      </c>
      <c r="C319" t="s">
        <v>357</v>
      </c>
      <c r="D319" s="8">
        <v>46081</v>
      </c>
      <c r="E319" s="8">
        <v>46085</v>
      </c>
      <c r="G319" t="s">
        <v>593</v>
      </c>
      <c r="H319" s="6">
        <v>8819</v>
      </c>
      <c r="I319" s="6">
        <v>4559</v>
      </c>
      <c r="J319" s="6">
        <v>0</v>
      </c>
      <c r="K319" t="s">
        <v>671</v>
      </c>
      <c r="L319">
        <v>85</v>
      </c>
      <c r="M319" t="s">
        <v>675</v>
      </c>
    </row>
    <row r="320" spans="1:13" x14ac:dyDescent="0.35">
      <c r="A320" t="s">
        <v>1238</v>
      </c>
      <c r="B320" t="s">
        <v>1239</v>
      </c>
      <c r="C320" t="s">
        <v>152</v>
      </c>
      <c r="D320" s="8">
        <v>46014</v>
      </c>
      <c r="E320" s="8">
        <v>46018</v>
      </c>
      <c r="F320" s="8">
        <v>46042</v>
      </c>
      <c r="G320" t="s">
        <v>588</v>
      </c>
      <c r="H320" s="6">
        <v>16980</v>
      </c>
      <c r="I320" s="6">
        <v>11117</v>
      </c>
      <c r="J320" s="6">
        <v>0</v>
      </c>
      <c r="K320" t="s">
        <v>653</v>
      </c>
      <c r="L320">
        <v>24</v>
      </c>
      <c r="M320" t="s">
        <v>772</v>
      </c>
    </row>
    <row r="321" spans="1:13" x14ac:dyDescent="0.35">
      <c r="A321" t="s">
        <v>1240</v>
      </c>
      <c r="B321" t="s">
        <v>1241</v>
      </c>
      <c r="C321" t="s">
        <v>177</v>
      </c>
      <c r="D321" s="8">
        <v>46034</v>
      </c>
      <c r="E321" s="8">
        <v>46039</v>
      </c>
      <c r="F321" s="8">
        <v>46060</v>
      </c>
      <c r="G321" t="s">
        <v>588</v>
      </c>
      <c r="H321" s="6">
        <v>17728</v>
      </c>
      <c r="I321" s="6">
        <v>10993</v>
      </c>
      <c r="J321" s="6">
        <v>10640</v>
      </c>
      <c r="K321" t="s">
        <v>581</v>
      </c>
      <c r="L321">
        <v>21</v>
      </c>
    </row>
    <row r="322" spans="1:13" x14ac:dyDescent="0.35">
      <c r="A322" t="s">
        <v>1242</v>
      </c>
      <c r="B322" t="s">
        <v>1243</v>
      </c>
      <c r="C322" t="s">
        <v>437</v>
      </c>
      <c r="D322" s="8">
        <v>46037</v>
      </c>
      <c r="E322" s="8">
        <v>46048</v>
      </c>
      <c r="F322" s="8">
        <v>46055</v>
      </c>
      <c r="G322" t="s">
        <v>588</v>
      </c>
      <c r="H322" s="6">
        <v>13306</v>
      </c>
      <c r="I322" s="6">
        <v>10432</v>
      </c>
      <c r="J322" s="6">
        <v>10328</v>
      </c>
      <c r="K322" t="s">
        <v>581</v>
      </c>
      <c r="L322">
        <v>7</v>
      </c>
    </row>
    <row r="323" spans="1:13" x14ac:dyDescent="0.35">
      <c r="A323" t="s">
        <v>1244</v>
      </c>
      <c r="B323" t="s">
        <v>1245</v>
      </c>
      <c r="C323" t="s">
        <v>468</v>
      </c>
      <c r="D323" s="8">
        <v>46083</v>
      </c>
      <c r="E323" s="8">
        <v>46098</v>
      </c>
      <c r="F323" s="8">
        <v>46119</v>
      </c>
      <c r="G323" t="s">
        <v>596</v>
      </c>
      <c r="H323" s="6">
        <v>12054</v>
      </c>
      <c r="I323" s="6">
        <v>5651</v>
      </c>
      <c r="J323" s="6">
        <v>5488</v>
      </c>
      <c r="K323" t="s">
        <v>581</v>
      </c>
      <c r="L323">
        <v>21</v>
      </c>
    </row>
    <row r="324" spans="1:13" x14ac:dyDescent="0.35">
      <c r="A324" t="s">
        <v>1246</v>
      </c>
      <c r="B324" t="s">
        <v>1247</v>
      </c>
      <c r="C324" t="s">
        <v>204</v>
      </c>
      <c r="D324" s="8">
        <v>46029</v>
      </c>
      <c r="E324" s="8">
        <v>46038</v>
      </c>
      <c r="F324" s="8">
        <v>46049</v>
      </c>
      <c r="G324" t="s">
        <v>580</v>
      </c>
      <c r="H324" s="6">
        <v>16453</v>
      </c>
      <c r="I324" s="6">
        <v>9409</v>
      </c>
      <c r="J324" s="6">
        <v>9185</v>
      </c>
      <c r="K324" t="s">
        <v>581</v>
      </c>
      <c r="L324">
        <v>11</v>
      </c>
    </row>
    <row r="325" spans="1:13" x14ac:dyDescent="0.35">
      <c r="A325" t="s">
        <v>1248</v>
      </c>
      <c r="B325" t="s">
        <v>1249</v>
      </c>
      <c r="C325" t="s">
        <v>186</v>
      </c>
      <c r="D325" s="8">
        <v>46022</v>
      </c>
      <c r="E325" s="8">
        <v>46034</v>
      </c>
      <c r="F325" s="8">
        <v>46053</v>
      </c>
      <c r="G325" t="s">
        <v>593</v>
      </c>
      <c r="H325" s="6">
        <v>15798</v>
      </c>
      <c r="I325" s="6">
        <v>7144</v>
      </c>
      <c r="J325" s="6">
        <v>6981</v>
      </c>
      <c r="K325" t="s">
        <v>581</v>
      </c>
      <c r="L325">
        <v>19</v>
      </c>
    </row>
    <row r="326" spans="1:13" x14ac:dyDescent="0.35">
      <c r="A326" t="s">
        <v>1250</v>
      </c>
      <c r="B326" t="s">
        <v>1251</v>
      </c>
      <c r="C326" t="s">
        <v>443</v>
      </c>
      <c r="D326" s="8">
        <v>46069</v>
      </c>
      <c r="E326" s="8">
        <v>46083</v>
      </c>
      <c r="G326" t="s">
        <v>596</v>
      </c>
      <c r="H326" s="6">
        <v>1437</v>
      </c>
      <c r="I326" s="6">
        <v>1013</v>
      </c>
      <c r="J326" s="6">
        <v>0</v>
      </c>
      <c r="K326" t="s">
        <v>671</v>
      </c>
      <c r="L326">
        <v>87</v>
      </c>
      <c r="M326" t="s">
        <v>855</v>
      </c>
    </row>
    <row r="327" spans="1:13" x14ac:dyDescent="0.35">
      <c r="A327" t="s">
        <v>1252</v>
      </c>
      <c r="B327" t="s">
        <v>1253</v>
      </c>
      <c r="C327" t="s">
        <v>328</v>
      </c>
      <c r="D327" s="8">
        <v>46140</v>
      </c>
      <c r="E327" s="8">
        <v>46144</v>
      </c>
      <c r="G327" t="s">
        <v>584</v>
      </c>
      <c r="H327" s="6">
        <v>14001</v>
      </c>
      <c r="I327" s="6">
        <v>7493</v>
      </c>
      <c r="J327" s="6">
        <v>0</v>
      </c>
      <c r="K327" t="s">
        <v>585</v>
      </c>
      <c r="L327">
        <v>26</v>
      </c>
    </row>
    <row r="328" spans="1:13" x14ac:dyDescent="0.35">
      <c r="A328" t="s">
        <v>1254</v>
      </c>
      <c r="B328" t="s">
        <v>1255</v>
      </c>
      <c r="C328" t="s">
        <v>421</v>
      </c>
      <c r="D328" s="8">
        <v>46052</v>
      </c>
      <c r="E328" s="8">
        <v>46055</v>
      </c>
      <c r="F328" s="8">
        <v>46083</v>
      </c>
      <c r="G328" t="s">
        <v>580</v>
      </c>
      <c r="H328" s="6">
        <v>14894</v>
      </c>
      <c r="I328" s="6">
        <v>8448</v>
      </c>
      <c r="J328" s="6">
        <v>0</v>
      </c>
      <c r="K328" t="s">
        <v>653</v>
      </c>
      <c r="L328">
        <v>28</v>
      </c>
      <c r="M328" t="s">
        <v>874</v>
      </c>
    </row>
    <row r="329" spans="1:13" x14ac:dyDescent="0.35">
      <c r="A329" t="s">
        <v>1256</v>
      </c>
      <c r="B329" t="s">
        <v>1257</v>
      </c>
      <c r="C329" t="s">
        <v>377</v>
      </c>
      <c r="D329" s="8">
        <v>46094</v>
      </c>
      <c r="E329" s="8">
        <v>46109</v>
      </c>
      <c r="G329" t="s">
        <v>596</v>
      </c>
      <c r="H329" s="6">
        <v>11615</v>
      </c>
      <c r="I329" s="6">
        <v>5666</v>
      </c>
      <c r="J329" s="6">
        <v>0</v>
      </c>
      <c r="K329" t="s">
        <v>585</v>
      </c>
      <c r="L329">
        <v>61</v>
      </c>
    </row>
    <row r="330" spans="1:13" x14ac:dyDescent="0.35">
      <c r="A330" t="s">
        <v>1258</v>
      </c>
      <c r="B330" t="s">
        <v>1259</v>
      </c>
      <c r="C330" t="s">
        <v>506</v>
      </c>
      <c r="D330" s="8">
        <v>46028</v>
      </c>
      <c r="E330" s="8">
        <v>46039</v>
      </c>
      <c r="F330" s="8">
        <v>46056</v>
      </c>
      <c r="G330" t="s">
        <v>588</v>
      </c>
      <c r="H330" s="6">
        <v>1856</v>
      </c>
      <c r="I330" s="6">
        <v>846</v>
      </c>
      <c r="J330" s="6">
        <v>829</v>
      </c>
      <c r="K330" t="s">
        <v>581</v>
      </c>
      <c r="L330">
        <v>17</v>
      </c>
    </row>
    <row r="331" spans="1:13" x14ac:dyDescent="0.35">
      <c r="A331" t="s">
        <v>1260</v>
      </c>
      <c r="B331" t="s">
        <v>1261</v>
      </c>
      <c r="C331" t="s">
        <v>460</v>
      </c>
      <c r="D331" s="8">
        <v>46148</v>
      </c>
      <c r="E331" s="8">
        <v>46161</v>
      </c>
      <c r="G331" t="s">
        <v>596</v>
      </c>
      <c r="H331" s="6">
        <v>14092</v>
      </c>
      <c r="I331" s="6">
        <v>7588</v>
      </c>
      <c r="J331" s="6">
        <v>0</v>
      </c>
      <c r="K331" t="s">
        <v>585</v>
      </c>
      <c r="L331">
        <v>9</v>
      </c>
    </row>
    <row r="332" spans="1:13" x14ac:dyDescent="0.35">
      <c r="A332" t="s">
        <v>1262</v>
      </c>
      <c r="B332" t="s">
        <v>1263</v>
      </c>
      <c r="C332" t="s">
        <v>145</v>
      </c>
      <c r="D332" s="8">
        <v>46031</v>
      </c>
      <c r="E332" s="8">
        <v>46037</v>
      </c>
      <c r="G332" t="s">
        <v>580</v>
      </c>
      <c r="H332" s="6">
        <v>805</v>
      </c>
      <c r="I332" s="6">
        <v>491</v>
      </c>
      <c r="J332" s="6">
        <v>0</v>
      </c>
      <c r="K332" t="s">
        <v>671</v>
      </c>
      <c r="L332">
        <v>133</v>
      </c>
      <c r="M332" t="s">
        <v>855</v>
      </c>
    </row>
    <row r="333" spans="1:13" x14ac:dyDescent="0.35">
      <c r="A333" t="s">
        <v>1264</v>
      </c>
      <c r="B333" t="s">
        <v>1265</v>
      </c>
      <c r="C333" t="s">
        <v>129</v>
      </c>
      <c r="D333" s="8">
        <v>46048</v>
      </c>
      <c r="E333" s="8">
        <v>46052</v>
      </c>
      <c r="F333" s="8">
        <v>46083</v>
      </c>
      <c r="G333" t="s">
        <v>596</v>
      </c>
      <c r="H333" s="6">
        <v>2215</v>
      </c>
      <c r="I333" s="6">
        <v>1452</v>
      </c>
      <c r="J333" s="6">
        <v>115</v>
      </c>
      <c r="K333" t="s">
        <v>607</v>
      </c>
      <c r="L333">
        <v>118</v>
      </c>
      <c r="M333" t="s">
        <v>767</v>
      </c>
    </row>
    <row r="334" spans="1:13" x14ac:dyDescent="0.35">
      <c r="A334" t="s">
        <v>1266</v>
      </c>
      <c r="B334" t="s">
        <v>1267</v>
      </c>
      <c r="C334" t="s">
        <v>233</v>
      </c>
      <c r="D334" s="8">
        <v>46121</v>
      </c>
      <c r="E334" s="8">
        <v>46130</v>
      </c>
      <c r="F334" s="8">
        <v>46151</v>
      </c>
      <c r="G334" t="s">
        <v>596</v>
      </c>
      <c r="H334" s="6">
        <v>8816</v>
      </c>
      <c r="I334" s="6">
        <v>5354</v>
      </c>
      <c r="J334" s="6">
        <v>5275</v>
      </c>
      <c r="K334" t="s">
        <v>581</v>
      </c>
      <c r="L334">
        <v>21</v>
      </c>
    </row>
    <row r="335" spans="1:13" x14ac:dyDescent="0.35">
      <c r="A335" t="s">
        <v>1268</v>
      </c>
      <c r="B335" t="s">
        <v>1269</v>
      </c>
      <c r="C335" t="s">
        <v>235</v>
      </c>
      <c r="D335" s="8">
        <v>46155</v>
      </c>
      <c r="E335" s="8">
        <v>46159</v>
      </c>
      <c r="F335" s="8">
        <v>46178</v>
      </c>
      <c r="G335" t="s">
        <v>596</v>
      </c>
      <c r="H335" s="6">
        <v>5062</v>
      </c>
      <c r="I335" s="6">
        <v>2654</v>
      </c>
      <c r="J335" s="6">
        <v>2618</v>
      </c>
      <c r="K335" t="s">
        <v>581</v>
      </c>
      <c r="L335">
        <v>19</v>
      </c>
    </row>
    <row r="336" spans="1:13" x14ac:dyDescent="0.35">
      <c r="A336" t="s">
        <v>1270</v>
      </c>
      <c r="B336" t="s">
        <v>1271</v>
      </c>
      <c r="C336" t="s">
        <v>348</v>
      </c>
      <c r="D336" s="8">
        <v>46157</v>
      </c>
      <c r="E336" s="8">
        <v>46170</v>
      </c>
      <c r="F336" s="8">
        <v>46176</v>
      </c>
      <c r="G336" t="s">
        <v>580</v>
      </c>
      <c r="H336" s="6">
        <v>4350</v>
      </c>
      <c r="I336" s="6">
        <v>2968</v>
      </c>
      <c r="J336" s="6">
        <v>2896</v>
      </c>
      <c r="K336" t="s">
        <v>581</v>
      </c>
      <c r="L336">
        <v>6</v>
      </c>
    </row>
    <row r="337" spans="1:13" x14ac:dyDescent="0.35">
      <c r="A337" t="s">
        <v>1272</v>
      </c>
      <c r="B337" t="s">
        <v>1273</v>
      </c>
      <c r="C337" t="s">
        <v>204</v>
      </c>
      <c r="D337" s="8">
        <v>46140</v>
      </c>
      <c r="E337" s="8">
        <v>46152</v>
      </c>
      <c r="F337" s="8">
        <v>46171</v>
      </c>
      <c r="G337" t="s">
        <v>596</v>
      </c>
      <c r="H337" s="6">
        <v>5395</v>
      </c>
      <c r="I337" s="6">
        <v>4571</v>
      </c>
      <c r="J337" s="6">
        <v>4378</v>
      </c>
      <c r="K337" t="s">
        <v>581</v>
      </c>
      <c r="L337">
        <v>19</v>
      </c>
    </row>
    <row r="338" spans="1:13" x14ac:dyDescent="0.35">
      <c r="A338" t="s">
        <v>1274</v>
      </c>
      <c r="B338" t="s">
        <v>1275</v>
      </c>
      <c r="C338" t="s">
        <v>102</v>
      </c>
      <c r="D338" s="8">
        <v>46079</v>
      </c>
      <c r="E338" s="8">
        <v>46087</v>
      </c>
      <c r="F338" s="8">
        <v>46110</v>
      </c>
      <c r="G338" t="s">
        <v>580</v>
      </c>
      <c r="H338" s="6">
        <v>15421</v>
      </c>
      <c r="I338" s="6">
        <v>9636</v>
      </c>
      <c r="J338" s="6">
        <v>9397</v>
      </c>
      <c r="K338" t="s">
        <v>581</v>
      </c>
      <c r="L338">
        <v>23</v>
      </c>
    </row>
    <row r="339" spans="1:13" x14ac:dyDescent="0.35">
      <c r="A339" t="s">
        <v>1276</v>
      </c>
      <c r="B339" t="s">
        <v>1277</v>
      </c>
      <c r="C339" t="s">
        <v>149</v>
      </c>
      <c r="D339" s="8">
        <v>46157</v>
      </c>
      <c r="E339" s="8">
        <v>46169</v>
      </c>
      <c r="F339" s="8">
        <v>46193</v>
      </c>
      <c r="G339" t="s">
        <v>596</v>
      </c>
      <c r="H339" s="6">
        <v>10944</v>
      </c>
      <c r="I339" s="6">
        <v>7929</v>
      </c>
      <c r="J339" s="6">
        <v>7657</v>
      </c>
      <c r="K339" t="s">
        <v>581</v>
      </c>
      <c r="L339">
        <v>24</v>
      </c>
    </row>
    <row r="340" spans="1:13" x14ac:dyDescent="0.35">
      <c r="A340" t="s">
        <v>1278</v>
      </c>
      <c r="B340" t="s">
        <v>1279</v>
      </c>
      <c r="C340" t="s">
        <v>301</v>
      </c>
      <c r="D340" s="8">
        <v>46143</v>
      </c>
      <c r="E340" s="8">
        <v>46161</v>
      </c>
      <c r="F340" s="8">
        <v>46180</v>
      </c>
      <c r="G340" t="s">
        <v>596</v>
      </c>
      <c r="H340" s="6">
        <v>15750</v>
      </c>
      <c r="I340" s="6">
        <v>10656</v>
      </c>
      <c r="J340" s="6">
        <v>10549</v>
      </c>
      <c r="K340" t="s">
        <v>581</v>
      </c>
      <c r="L340">
        <v>19</v>
      </c>
    </row>
    <row r="341" spans="1:13" x14ac:dyDescent="0.35">
      <c r="A341" t="s">
        <v>1280</v>
      </c>
      <c r="B341" t="s">
        <v>1281</v>
      </c>
      <c r="C341" t="s">
        <v>284</v>
      </c>
      <c r="D341" s="8">
        <v>46159</v>
      </c>
      <c r="E341" s="8">
        <v>46175</v>
      </c>
      <c r="G341" t="s">
        <v>580</v>
      </c>
      <c r="H341" s="6">
        <v>13150</v>
      </c>
      <c r="I341" s="6">
        <v>8865</v>
      </c>
      <c r="J341" s="6">
        <v>0</v>
      </c>
      <c r="K341" t="s">
        <v>671</v>
      </c>
      <c r="L341">
        <v>-5</v>
      </c>
      <c r="M341" t="s">
        <v>855</v>
      </c>
    </row>
    <row r="342" spans="1:13" x14ac:dyDescent="0.35">
      <c r="A342" t="s">
        <v>1282</v>
      </c>
      <c r="B342" t="s">
        <v>1283</v>
      </c>
      <c r="C342" t="s">
        <v>383</v>
      </c>
      <c r="D342" s="8">
        <v>46036</v>
      </c>
      <c r="E342" s="8">
        <v>46047</v>
      </c>
      <c r="F342" s="8">
        <v>46061</v>
      </c>
      <c r="G342" t="s">
        <v>584</v>
      </c>
      <c r="H342" s="6">
        <v>8097</v>
      </c>
      <c r="I342" s="6">
        <v>5970</v>
      </c>
      <c r="J342" s="6">
        <v>5762</v>
      </c>
      <c r="K342" t="s">
        <v>581</v>
      </c>
      <c r="L342">
        <v>14</v>
      </c>
    </row>
    <row r="343" spans="1:13" x14ac:dyDescent="0.35">
      <c r="A343" t="s">
        <v>1284</v>
      </c>
      <c r="B343" t="s">
        <v>1285</v>
      </c>
      <c r="C343" t="s">
        <v>293</v>
      </c>
      <c r="D343" s="8">
        <v>46095</v>
      </c>
      <c r="E343" s="8">
        <v>46098</v>
      </c>
      <c r="F343" s="8">
        <v>46103</v>
      </c>
      <c r="G343" t="s">
        <v>588</v>
      </c>
      <c r="H343" s="6">
        <v>10802</v>
      </c>
      <c r="I343" s="6">
        <v>8190</v>
      </c>
      <c r="J343" s="6">
        <v>7823</v>
      </c>
      <c r="K343" t="s">
        <v>581</v>
      </c>
      <c r="L343">
        <v>5</v>
      </c>
    </row>
    <row r="344" spans="1:13" x14ac:dyDescent="0.35">
      <c r="A344" t="s">
        <v>1286</v>
      </c>
      <c r="B344" t="s">
        <v>1287</v>
      </c>
      <c r="C344" t="s">
        <v>388</v>
      </c>
      <c r="D344" s="8">
        <v>46033</v>
      </c>
      <c r="E344" s="8">
        <v>46043</v>
      </c>
      <c r="F344" s="8">
        <v>46057</v>
      </c>
      <c r="G344" t="s">
        <v>584</v>
      </c>
      <c r="H344" s="6">
        <v>1754</v>
      </c>
      <c r="I344" s="6">
        <v>1426</v>
      </c>
      <c r="J344" s="6">
        <v>1422</v>
      </c>
      <c r="K344" t="s">
        <v>581</v>
      </c>
      <c r="L344">
        <v>14</v>
      </c>
    </row>
    <row r="345" spans="1:13" x14ac:dyDescent="0.35">
      <c r="A345" t="s">
        <v>1288</v>
      </c>
      <c r="B345" t="s">
        <v>1289</v>
      </c>
      <c r="C345" t="s">
        <v>468</v>
      </c>
      <c r="D345" s="8">
        <v>46112</v>
      </c>
      <c r="E345" s="8">
        <v>46127</v>
      </c>
      <c r="F345" s="8">
        <v>46150</v>
      </c>
      <c r="G345" t="s">
        <v>584</v>
      </c>
      <c r="H345" s="6">
        <v>2355</v>
      </c>
      <c r="I345" s="6">
        <v>1287</v>
      </c>
      <c r="J345" s="6">
        <v>1259</v>
      </c>
      <c r="K345" t="s">
        <v>581</v>
      </c>
      <c r="L345">
        <v>23</v>
      </c>
    </row>
    <row r="346" spans="1:13" x14ac:dyDescent="0.35">
      <c r="A346" t="s">
        <v>1290</v>
      </c>
      <c r="B346" t="s">
        <v>1291</v>
      </c>
      <c r="C346" t="s">
        <v>183</v>
      </c>
      <c r="D346" s="8">
        <v>46110</v>
      </c>
      <c r="E346" s="8">
        <v>46124</v>
      </c>
      <c r="F346" s="8">
        <v>46146</v>
      </c>
      <c r="G346" t="s">
        <v>580</v>
      </c>
      <c r="H346" s="6">
        <v>2120</v>
      </c>
      <c r="I346" s="6">
        <v>1756</v>
      </c>
      <c r="J346" s="6">
        <v>1748</v>
      </c>
      <c r="K346" t="s">
        <v>581</v>
      </c>
      <c r="L346">
        <v>22</v>
      </c>
    </row>
    <row r="347" spans="1:13" x14ac:dyDescent="0.35">
      <c r="A347" t="s">
        <v>1292</v>
      </c>
      <c r="B347" t="s">
        <v>1293</v>
      </c>
      <c r="C347" t="s">
        <v>319</v>
      </c>
      <c r="D347" s="8">
        <v>46013</v>
      </c>
      <c r="E347" s="8">
        <v>46024</v>
      </c>
      <c r="F347" s="8">
        <v>46041</v>
      </c>
      <c r="G347" t="s">
        <v>593</v>
      </c>
      <c r="H347" s="6">
        <v>10154</v>
      </c>
      <c r="I347" s="6">
        <v>7679</v>
      </c>
      <c r="J347" s="6">
        <v>7324</v>
      </c>
      <c r="K347" t="s">
        <v>581</v>
      </c>
      <c r="L347">
        <v>17</v>
      </c>
    </row>
    <row r="348" spans="1:13" x14ac:dyDescent="0.35">
      <c r="A348" t="s">
        <v>1294</v>
      </c>
      <c r="B348" t="s">
        <v>1295</v>
      </c>
      <c r="C348" t="s">
        <v>342</v>
      </c>
      <c r="D348" s="8">
        <v>46159</v>
      </c>
      <c r="E348" s="8">
        <v>46173</v>
      </c>
      <c r="F348" s="8">
        <v>46195</v>
      </c>
      <c r="G348" t="s">
        <v>596</v>
      </c>
      <c r="H348" s="6">
        <v>7808</v>
      </c>
      <c r="I348" s="6">
        <v>4451</v>
      </c>
      <c r="J348" s="6">
        <v>4435</v>
      </c>
      <c r="K348" t="s">
        <v>581</v>
      </c>
      <c r="L348">
        <v>22</v>
      </c>
    </row>
    <row r="349" spans="1:13" x14ac:dyDescent="0.35">
      <c r="A349" t="s">
        <v>1296</v>
      </c>
      <c r="B349" t="s">
        <v>1297</v>
      </c>
      <c r="C349" t="s">
        <v>224</v>
      </c>
      <c r="D349" s="8">
        <v>46145</v>
      </c>
      <c r="E349" s="8">
        <v>46160</v>
      </c>
      <c r="F349" s="8">
        <v>46183</v>
      </c>
      <c r="G349" t="s">
        <v>596</v>
      </c>
      <c r="H349" s="6">
        <v>10631</v>
      </c>
      <c r="I349" s="6">
        <v>7683</v>
      </c>
      <c r="J349" s="6">
        <v>7561</v>
      </c>
      <c r="K349" t="s">
        <v>581</v>
      </c>
      <c r="L349">
        <v>23</v>
      </c>
    </row>
    <row r="350" spans="1:13" x14ac:dyDescent="0.35">
      <c r="A350" t="s">
        <v>1298</v>
      </c>
      <c r="B350" t="s">
        <v>1299</v>
      </c>
      <c r="C350" t="s">
        <v>112</v>
      </c>
      <c r="D350" s="8">
        <v>46145</v>
      </c>
      <c r="E350" s="8">
        <v>46155</v>
      </c>
      <c r="F350" s="8">
        <v>46168</v>
      </c>
      <c r="G350" t="s">
        <v>596</v>
      </c>
      <c r="H350" s="6">
        <v>8528</v>
      </c>
      <c r="I350" s="6">
        <v>7180</v>
      </c>
      <c r="J350" s="6">
        <v>0</v>
      </c>
      <c r="K350" t="s">
        <v>653</v>
      </c>
      <c r="L350">
        <v>13</v>
      </c>
      <c r="M350" t="s">
        <v>772</v>
      </c>
    </row>
    <row r="351" spans="1:13" x14ac:dyDescent="0.35">
      <c r="A351" t="s">
        <v>1300</v>
      </c>
      <c r="B351" t="s">
        <v>1301</v>
      </c>
      <c r="C351" t="s">
        <v>458</v>
      </c>
      <c r="D351" s="8">
        <v>46032</v>
      </c>
      <c r="E351" s="8">
        <v>46038</v>
      </c>
      <c r="G351" t="s">
        <v>593</v>
      </c>
      <c r="H351" s="6">
        <v>13407</v>
      </c>
      <c r="I351" s="6">
        <v>7146</v>
      </c>
      <c r="J351" s="6">
        <v>0</v>
      </c>
      <c r="K351" t="s">
        <v>585</v>
      </c>
      <c r="L351">
        <v>132</v>
      </c>
    </row>
    <row r="352" spans="1:13" x14ac:dyDescent="0.35">
      <c r="A352" t="s">
        <v>1302</v>
      </c>
      <c r="B352" t="s">
        <v>1303</v>
      </c>
      <c r="C352" t="s">
        <v>263</v>
      </c>
      <c r="D352" s="8">
        <v>46160</v>
      </c>
      <c r="E352" s="8">
        <v>46164</v>
      </c>
      <c r="F352" s="8">
        <v>46182</v>
      </c>
      <c r="G352" t="s">
        <v>593</v>
      </c>
      <c r="H352" s="6">
        <v>15183</v>
      </c>
      <c r="I352" s="6">
        <v>10405</v>
      </c>
      <c r="J352" s="6">
        <v>10059</v>
      </c>
      <c r="K352" t="s">
        <v>581</v>
      </c>
      <c r="L352">
        <v>18</v>
      </c>
    </row>
    <row r="353" spans="1:13" x14ac:dyDescent="0.35">
      <c r="A353" t="s">
        <v>1304</v>
      </c>
      <c r="B353" t="s">
        <v>1305</v>
      </c>
      <c r="C353" t="s">
        <v>548</v>
      </c>
      <c r="D353" s="8">
        <v>46108</v>
      </c>
      <c r="E353" s="8">
        <v>46117</v>
      </c>
      <c r="F353" s="8">
        <v>46138</v>
      </c>
      <c r="G353" t="s">
        <v>593</v>
      </c>
      <c r="H353" s="6">
        <v>2534</v>
      </c>
      <c r="I353" s="6">
        <v>1467</v>
      </c>
      <c r="J353" s="6">
        <v>1417</v>
      </c>
      <c r="K353" t="s">
        <v>581</v>
      </c>
      <c r="L353">
        <v>21</v>
      </c>
    </row>
    <row r="354" spans="1:13" x14ac:dyDescent="0.35">
      <c r="A354" t="s">
        <v>1306</v>
      </c>
      <c r="B354" t="s">
        <v>1307</v>
      </c>
      <c r="C354" t="s">
        <v>348</v>
      </c>
      <c r="D354" s="8">
        <v>46086</v>
      </c>
      <c r="E354" s="8">
        <v>46101</v>
      </c>
      <c r="F354" s="8">
        <v>46124</v>
      </c>
      <c r="G354" t="s">
        <v>593</v>
      </c>
      <c r="H354" s="6">
        <v>16071</v>
      </c>
      <c r="I354" s="6">
        <v>8154</v>
      </c>
      <c r="J354" s="6">
        <v>8039</v>
      </c>
      <c r="K354" t="s">
        <v>581</v>
      </c>
      <c r="L354">
        <v>23</v>
      </c>
    </row>
    <row r="355" spans="1:13" x14ac:dyDescent="0.35">
      <c r="A355" t="s">
        <v>1308</v>
      </c>
      <c r="B355" t="s">
        <v>1309</v>
      </c>
      <c r="C355" t="s">
        <v>255</v>
      </c>
      <c r="D355" s="8">
        <v>46016</v>
      </c>
      <c r="E355" s="8">
        <v>46030</v>
      </c>
      <c r="F355" s="8">
        <v>46055</v>
      </c>
      <c r="G355" t="s">
        <v>584</v>
      </c>
      <c r="H355" s="6">
        <v>5251</v>
      </c>
      <c r="I355" s="6">
        <v>4008</v>
      </c>
      <c r="J355" s="6">
        <v>3951</v>
      </c>
      <c r="K355" t="s">
        <v>581</v>
      </c>
      <c r="L355">
        <v>25</v>
      </c>
    </row>
    <row r="356" spans="1:13" x14ac:dyDescent="0.35">
      <c r="A356" t="s">
        <v>1310</v>
      </c>
      <c r="B356" t="s">
        <v>1311</v>
      </c>
      <c r="C356" t="s">
        <v>483</v>
      </c>
      <c r="D356" s="8">
        <v>46131</v>
      </c>
      <c r="E356" s="8">
        <v>46135</v>
      </c>
      <c r="F356" s="8">
        <v>46152</v>
      </c>
      <c r="G356" t="s">
        <v>596</v>
      </c>
      <c r="H356" s="6">
        <v>17296</v>
      </c>
      <c r="I356" s="6">
        <v>8966</v>
      </c>
      <c r="J356" s="6">
        <v>8833</v>
      </c>
      <c r="K356" t="s">
        <v>581</v>
      </c>
      <c r="L356">
        <v>17</v>
      </c>
    </row>
    <row r="357" spans="1:13" x14ac:dyDescent="0.35">
      <c r="A357" t="s">
        <v>1312</v>
      </c>
      <c r="B357" t="s">
        <v>1313</v>
      </c>
      <c r="C357" t="s">
        <v>230</v>
      </c>
      <c r="D357" s="8">
        <v>46046</v>
      </c>
      <c r="E357" s="8">
        <v>46055</v>
      </c>
      <c r="F357" s="8">
        <v>46077</v>
      </c>
      <c r="G357" t="s">
        <v>596</v>
      </c>
      <c r="H357" s="6">
        <v>2389</v>
      </c>
      <c r="I357" s="6">
        <v>1819</v>
      </c>
      <c r="J357" s="6">
        <v>1740</v>
      </c>
      <c r="K357" t="s">
        <v>581</v>
      </c>
      <c r="L357">
        <v>22</v>
      </c>
    </row>
    <row r="358" spans="1:13" x14ac:dyDescent="0.35">
      <c r="A358" t="s">
        <v>1314</v>
      </c>
      <c r="B358" t="s">
        <v>1315</v>
      </c>
      <c r="C358" t="s">
        <v>257</v>
      </c>
      <c r="D358" s="8">
        <v>46152</v>
      </c>
      <c r="E358" s="8">
        <v>46161</v>
      </c>
      <c r="F358" s="8">
        <v>46177</v>
      </c>
      <c r="G358" t="s">
        <v>588</v>
      </c>
      <c r="H358" s="6">
        <v>6823</v>
      </c>
      <c r="I358" s="6">
        <v>4593</v>
      </c>
      <c r="J358" s="6">
        <v>4582</v>
      </c>
      <c r="K358" t="s">
        <v>581</v>
      </c>
      <c r="L358">
        <v>16</v>
      </c>
    </row>
    <row r="359" spans="1:13" x14ac:dyDescent="0.35">
      <c r="A359" t="s">
        <v>1316</v>
      </c>
      <c r="B359" t="s">
        <v>1317</v>
      </c>
      <c r="C359" t="s">
        <v>87</v>
      </c>
      <c r="D359" s="8">
        <v>46081</v>
      </c>
      <c r="E359" s="8">
        <v>46090</v>
      </c>
      <c r="F359" s="8">
        <v>46099</v>
      </c>
      <c r="G359" t="s">
        <v>580</v>
      </c>
      <c r="H359" s="6">
        <v>15874</v>
      </c>
      <c r="I359" s="6">
        <v>8759</v>
      </c>
      <c r="J359" s="6">
        <v>0</v>
      </c>
      <c r="K359" t="s">
        <v>653</v>
      </c>
      <c r="L359">
        <v>9</v>
      </c>
      <c r="M359" t="s">
        <v>1025</v>
      </c>
    </row>
    <row r="360" spans="1:13" x14ac:dyDescent="0.35">
      <c r="A360" t="s">
        <v>1318</v>
      </c>
      <c r="B360" t="s">
        <v>1319</v>
      </c>
      <c r="C360" t="s">
        <v>193</v>
      </c>
      <c r="D360" s="8">
        <v>46032</v>
      </c>
      <c r="E360" s="8">
        <v>46049</v>
      </c>
      <c r="F360" s="8">
        <v>46064</v>
      </c>
      <c r="G360" t="s">
        <v>584</v>
      </c>
      <c r="H360" s="6">
        <v>6471</v>
      </c>
      <c r="I360" s="6">
        <v>3764</v>
      </c>
      <c r="J360" s="6">
        <v>3612</v>
      </c>
      <c r="K360" t="s">
        <v>581</v>
      </c>
      <c r="L360">
        <v>15</v>
      </c>
    </row>
    <row r="361" spans="1:13" x14ac:dyDescent="0.35">
      <c r="A361" t="s">
        <v>1320</v>
      </c>
      <c r="B361" t="s">
        <v>1321</v>
      </c>
      <c r="C361" t="s">
        <v>475</v>
      </c>
      <c r="D361" s="8">
        <v>46078</v>
      </c>
      <c r="E361" s="8">
        <v>46083</v>
      </c>
      <c r="F361" s="8">
        <v>46096</v>
      </c>
      <c r="G361" t="s">
        <v>596</v>
      </c>
      <c r="H361" s="6">
        <v>9225</v>
      </c>
      <c r="I361" s="6">
        <v>6080</v>
      </c>
      <c r="J361" s="6">
        <v>5988</v>
      </c>
      <c r="K361" t="s">
        <v>581</v>
      </c>
      <c r="L361">
        <v>13</v>
      </c>
    </row>
    <row r="362" spans="1:13" x14ac:dyDescent="0.35">
      <c r="A362" t="s">
        <v>1322</v>
      </c>
      <c r="B362" t="s">
        <v>1323</v>
      </c>
      <c r="C362" t="s">
        <v>112</v>
      </c>
      <c r="D362" s="8">
        <v>46131</v>
      </c>
      <c r="E362" s="8">
        <v>46139</v>
      </c>
      <c r="F362" s="8">
        <v>46164</v>
      </c>
      <c r="G362" t="s">
        <v>593</v>
      </c>
      <c r="H362" s="6">
        <v>15961</v>
      </c>
      <c r="I362" s="6">
        <v>8911</v>
      </c>
      <c r="J362" s="6">
        <v>8800</v>
      </c>
      <c r="K362" t="s">
        <v>581</v>
      </c>
      <c r="L362">
        <v>25</v>
      </c>
    </row>
    <row r="363" spans="1:13" x14ac:dyDescent="0.35">
      <c r="A363" t="s">
        <v>1324</v>
      </c>
      <c r="B363" t="s">
        <v>1325</v>
      </c>
      <c r="C363" t="s">
        <v>407</v>
      </c>
      <c r="D363" s="8">
        <v>46049</v>
      </c>
      <c r="E363" s="8">
        <v>46067</v>
      </c>
      <c r="F363" s="8">
        <v>46079</v>
      </c>
      <c r="G363" t="s">
        <v>584</v>
      </c>
      <c r="H363" s="6">
        <v>13433</v>
      </c>
      <c r="I363" s="6">
        <v>11329</v>
      </c>
      <c r="J363" s="6">
        <v>10808</v>
      </c>
      <c r="K363" t="s">
        <v>581</v>
      </c>
      <c r="L363">
        <v>12</v>
      </c>
    </row>
    <row r="364" spans="1:13" x14ac:dyDescent="0.35">
      <c r="A364" t="s">
        <v>1326</v>
      </c>
      <c r="B364" t="s">
        <v>1327</v>
      </c>
      <c r="C364" t="s">
        <v>313</v>
      </c>
      <c r="D364" s="8">
        <v>46096</v>
      </c>
      <c r="E364" s="8">
        <v>46104</v>
      </c>
      <c r="F364" s="8">
        <v>46122</v>
      </c>
      <c r="G364" t="s">
        <v>593</v>
      </c>
      <c r="H364" s="6">
        <v>10858</v>
      </c>
      <c r="I364" s="6">
        <v>7493</v>
      </c>
      <c r="J364" s="6">
        <v>7333</v>
      </c>
      <c r="K364" t="s">
        <v>581</v>
      </c>
      <c r="L364">
        <v>18</v>
      </c>
    </row>
    <row r="365" spans="1:13" x14ac:dyDescent="0.35">
      <c r="A365" t="s">
        <v>1328</v>
      </c>
      <c r="B365" t="s">
        <v>1329</v>
      </c>
      <c r="C365" t="s">
        <v>413</v>
      </c>
      <c r="D365" s="8">
        <v>46024</v>
      </c>
      <c r="E365" s="8">
        <v>46042</v>
      </c>
      <c r="F365" s="8">
        <v>46060</v>
      </c>
      <c r="G365" t="s">
        <v>584</v>
      </c>
      <c r="H365" s="6">
        <v>17020</v>
      </c>
      <c r="I365" s="6">
        <v>11479</v>
      </c>
      <c r="J365" s="6">
        <v>11284</v>
      </c>
      <c r="K365" t="s">
        <v>581</v>
      </c>
      <c r="L365">
        <v>18</v>
      </c>
    </row>
    <row r="366" spans="1:13" x14ac:dyDescent="0.35">
      <c r="A366" t="s">
        <v>1330</v>
      </c>
      <c r="B366" t="s">
        <v>1331</v>
      </c>
      <c r="C366" t="s">
        <v>201</v>
      </c>
      <c r="D366" s="8">
        <v>46031</v>
      </c>
      <c r="E366" s="8">
        <v>46043</v>
      </c>
      <c r="G366" t="s">
        <v>588</v>
      </c>
      <c r="H366" s="6">
        <v>12610</v>
      </c>
      <c r="I366" s="6">
        <v>7324</v>
      </c>
      <c r="J366" s="6">
        <v>0</v>
      </c>
      <c r="K366" t="s">
        <v>585</v>
      </c>
      <c r="L366">
        <v>127</v>
      </c>
    </row>
    <row r="367" spans="1:13" x14ac:dyDescent="0.35">
      <c r="A367" t="s">
        <v>1332</v>
      </c>
      <c r="B367" t="s">
        <v>1333</v>
      </c>
      <c r="C367" t="s">
        <v>463</v>
      </c>
      <c r="D367" s="8">
        <v>46079</v>
      </c>
      <c r="E367" s="8">
        <v>46095</v>
      </c>
      <c r="G367" t="s">
        <v>580</v>
      </c>
      <c r="H367" s="6">
        <v>5986</v>
      </c>
      <c r="I367" s="6">
        <v>4551</v>
      </c>
      <c r="J367" s="6">
        <v>0</v>
      </c>
      <c r="K367" t="s">
        <v>585</v>
      </c>
      <c r="L367">
        <v>75</v>
      </c>
    </row>
    <row r="368" spans="1:13" x14ac:dyDescent="0.35">
      <c r="A368" t="s">
        <v>1334</v>
      </c>
      <c r="B368" t="s">
        <v>1335</v>
      </c>
      <c r="C368" t="s">
        <v>366</v>
      </c>
      <c r="D368" s="8">
        <v>46105</v>
      </c>
      <c r="E368" s="8">
        <v>46118</v>
      </c>
      <c r="F368" s="8">
        <v>46133</v>
      </c>
      <c r="G368" t="s">
        <v>596</v>
      </c>
      <c r="H368" s="6">
        <v>8130</v>
      </c>
      <c r="I368" s="6">
        <v>5612</v>
      </c>
      <c r="J368" s="6">
        <v>5413</v>
      </c>
      <c r="K368" t="s">
        <v>581</v>
      </c>
      <c r="L368">
        <v>15</v>
      </c>
    </row>
    <row r="369" spans="1:13" x14ac:dyDescent="0.35">
      <c r="A369" t="s">
        <v>1336</v>
      </c>
      <c r="B369" t="s">
        <v>1337</v>
      </c>
      <c r="C369" t="s">
        <v>530</v>
      </c>
      <c r="D369" s="8">
        <v>46160</v>
      </c>
      <c r="E369" s="8">
        <v>46171</v>
      </c>
      <c r="G369" t="s">
        <v>584</v>
      </c>
      <c r="H369" s="6">
        <v>11465</v>
      </c>
      <c r="I369" s="6">
        <v>6895</v>
      </c>
      <c r="J369" s="6">
        <v>0</v>
      </c>
      <c r="K369" t="s">
        <v>671</v>
      </c>
      <c r="L369">
        <v>-1</v>
      </c>
      <c r="M369" t="s">
        <v>675</v>
      </c>
    </row>
    <row r="370" spans="1:13" x14ac:dyDescent="0.35">
      <c r="A370" t="s">
        <v>1338</v>
      </c>
      <c r="B370" t="s">
        <v>1339</v>
      </c>
      <c r="C370" t="s">
        <v>563</v>
      </c>
      <c r="D370" s="8">
        <v>46067</v>
      </c>
      <c r="E370" s="8">
        <v>46070</v>
      </c>
      <c r="F370" s="8">
        <v>46089</v>
      </c>
      <c r="G370" t="s">
        <v>580</v>
      </c>
      <c r="H370" s="6">
        <v>17192</v>
      </c>
      <c r="I370" s="6">
        <v>9020</v>
      </c>
      <c r="J370" s="6">
        <v>8790</v>
      </c>
      <c r="K370" t="s">
        <v>581</v>
      </c>
      <c r="L370">
        <v>19</v>
      </c>
    </row>
    <row r="371" spans="1:13" x14ac:dyDescent="0.35">
      <c r="A371" t="s">
        <v>1340</v>
      </c>
      <c r="B371" t="s">
        <v>1341</v>
      </c>
      <c r="C371" t="s">
        <v>135</v>
      </c>
      <c r="D371" s="8">
        <v>46136</v>
      </c>
      <c r="E371" s="8">
        <v>46149</v>
      </c>
      <c r="F371" s="8">
        <v>46168</v>
      </c>
      <c r="G371" t="s">
        <v>584</v>
      </c>
      <c r="H371" s="6">
        <v>4891</v>
      </c>
      <c r="I371" s="6">
        <v>3174</v>
      </c>
      <c r="J371" s="6">
        <v>3043</v>
      </c>
      <c r="K371" t="s">
        <v>581</v>
      </c>
      <c r="L371">
        <v>19</v>
      </c>
    </row>
    <row r="372" spans="1:13" x14ac:dyDescent="0.35">
      <c r="A372" t="s">
        <v>1342</v>
      </c>
      <c r="B372" t="s">
        <v>1343</v>
      </c>
      <c r="C372" t="s">
        <v>215</v>
      </c>
      <c r="D372" s="8">
        <v>46072</v>
      </c>
      <c r="E372" s="8">
        <v>46090</v>
      </c>
      <c r="F372" s="8">
        <v>46107</v>
      </c>
      <c r="G372" t="s">
        <v>593</v>
      </c>
      <c r="H372" s="6">
        <v>15462</v>
      </c>
      <c r="I372" s="6">
        <v>10286</v>
      </c>
      <c r="J372" s="6">
        <v>10034</v>
      </c>
      <c r="K372" t="s">
        <v>581</v>
      </c>
      <c r="L372">
        <v>17</v>
      </c>
    </row>
    <row r="373" spans="1:13" x14ac:dyDescent="0.35">
      <c r="A373" t="s">
        <v>1344</v>
      </c>
      <c r="B373" t="s">
        <v>1345</v>
      </c>
      <c r="C373" t="s">
        <v>120</v>
      </c>
      <c r="D373" s="8">
        <v>46086</v>
      </c>
      <c r="E373" s="8">
        <v>46089</v>
      </c>
      <c r="F373" s="8">
        <v>46095</v>
      </c>
      <c r="G373" t="s">
        <v>580</v>
      </c>
      <c r="H373" s="6">
        <v>13854</v>
      </c>
      <c r="I373" s="6">
        <v>9009</v>
      </c>
      <c r="J373" s="6">
        <v>8715</v>
      </c>
      <c r="K373" t="s">
        <v>581</v>
      </c>
      <c r="L373">
        <v>6</v>
      </c>
    </row>
    <row r="374" spans="1:13" x14ac:dyDescent="0.35">
      <c r="A374" t="s">
        <v>1346</v>
      </c>
      <c r="B374" t="s">
        <v>1347</v>
      </c>
      <c r="C374" t="s">
        <v>109</v>
      </c>
      <c r="D374" s="8">
        <v>46095</v>
      </c>
      <c r="E374" s="8">
        <v>46102</v>
      </c>
      <c r="F374" s="8">
        <v>46122</v>
      </c>
      <c r="G374" t="s">
        <v>593</v>
      </c>
      <c r="H374" s="6">
        <v>7828</v>
      </c>
      <c r="I374" s="6">
        <v>4511</v>
      </c>
      <c r="J374" s="6">
        <v>4457</v>
      </c>
      <c r="K374" t="s">
        <v>581</v>
      </c>
      <c r="L374">
        <v>20</v>
      </c>
    </row>
    <row r="375" spans="1:13" x14ac:dyDescent="0.35">
      <c r="A375" t="s">
        <v>1348</v>
      </c>
      <c r="B375" t="s">
        <v>1349</v>
      </c>
      <c r="C375" t="s">
        <v>201</v>
      </c>
      <c r="D375" s="8">
        <v>46114</v>
      </c>
      <c r="E375" s="8">
        <v>46117</v>
      </c>
      <c r="F375" s="8">
        <v>46127</v>
      </c>
      <c r="G375" t="s">
        <v>593</v>
      </c>
      <c r="H375" s="6">
        <v>8193</v>
      </c>
      <c r="I375" s="6">
        <v>4412</v>
      </c>
      <c r="J375" s="6">
        <v>4252</v>
      </c>
      <c r="K375" t="s">
        <v>581</v>
      </c>
      <c r="L375">
        <v>10</v>
      </c>
    </row>
    <row r="376" spans="1:13" x14ac:dyDescent="0.35">
      <c r="A376" t="s">
        <v>1350</v>
      </c>
      <c r="B376" t="s">
        <v>1351</v>
      </c>
      <c r="C376" t="s">
        <v>475</v>
      </c>
      <c r="D376" s="8">
        <v>46089</v>
      </c>
      <c r="E376" s="8">
        <v>46095</v>
      </c>
      <c r="F376" s="8">
        <v>46120</v>
      </c>
      <c r="G376" t="s">
        <v>584</v>
      </c>
      <c r="H376" s="6">
        <v>5087</v>
      </c>
      <c r="I376" s="6">
        <v>4107</v>
      </c>
      <c r="J376" s="6">
        <v>3939</v>
      </c>
      <c r="K376" t="s">
        <v>581</v>
      </c>
      <c r="L376">
        <v>25</v>
      </c>
    </row>
    <row r="377" spans="1:13" x14ac:dyDescent="0.35">
      <c r="A377" t="s">
        <v>1352</v>
      </c>
      <c r="B377" t="s">
        <v>1353</v>
      </c>
      <c r="C377" t="s">
        <v>168</v>
      </c>
      <c r="D377" s="8">
        <v>46109</v>
      </c>
      <c r="E377" s="8">
        <v>46114</v>
      </c>
      <c r="F377" s="8">
        <v>46129</v>
      </c>
      <c r="G377" t="s">
        <v>593</v>
      </c>
      <c r="H377" s="6">
        <v>8655</v>
      </c>
      <c r="I377" s="6">
        <v>5300</v>
      </c>
      <c r="J377" s="6">
        <v>5143</v>
      </c>
      <c r="K377" t="s">
        <v>581</v>
      </c>
      <c r="L377">
        <v>15</v>
      </c>
    </row>
    <row r="378" spans="1:13" x14ac:dyDescent="0.35">
      <c r="A378" t="s">
        <v>1354</v>
      </c>
      <c r="B378" t="s">
        <v>1355</v>
      </c>
      <c r="C378" t="s">
        <v>443</v>
      </c>
      <c r="D378" s="8">
        <v>46036</v>
      </c>
      <c r="E378" s="8">
        <v>46052</v>
      </c>
      <c r="F378" s="8">
        <v>46069</v>
      </c>
      <c r="G378" t="s">
        <v>580</v>
      </c>
      <c r="H378" s="6">
        <v>12852</v>
      </c>
      <c r="I378" s="6">
        <v>10219</v>
      </c>
      <c r="J378" s="6">
        <v>9887</v>
      </c>
      <c r="K378" t="s">
        <v>581</v>
      </c>
      <c r="L378">
        <v>17</v>
      </c>
    </row>
    <row r="379" spans="1:13" x14ac:dyDescent="0.35">
      <c r="A379" t="s">
        <v>1356</v>
      </c>
      <c r="B379" t="s">
        <v>1357</v>
      </c>
      <c r="C379" t="s">
        <v>490</v>
      </c>
      <c r="D379" s="8">
        <v>46064</v>
      </c>
      <c r="E379" s="8">
        <v>46081</v>
      </c>
      <c r="G379" t="s">
        <v>593</v>
      </c>
      <c r="H379" s="6">
        <v>2989</v>
      </c>
      <c r="I379" s="6">
        <v>2167</v>
      </c>
      <c r="J379" s="6">
        <v>0</v>
      </c>
      <c r="K379" t="s">
        <v>585</v>
      </c>
      <c r="L379">
        <v>89</v>
      </c>
    </row>
    <row r="380" spans="1:13" x14ac:dyDescent="0.35">
      <c r="A380" t="s">
        <v>1358</v>
      </c>
      <c r="B380" t="s">
        <v>1359</v>
      </c>
      <c r="C380" t="s">
        <v>269</v>
      </c>
      <c r="D380" s="8">
        <v>46039</v>
      </c>
      <c r="E380" s="8">
        <v>46055</v>
      </c>
      <c r="G380" t="s">
        <v>593</v>
      </c>
      <c r="H380" s="6">
        <v>9534</v>
      </c>
      <c r="I380" s="6">
        <v>5139</v>
      </c>
      <c r="J380" s="6">
        <v>0</v>
      </c>
      <c r="K380" t="s">
        <v>585</v>
      </c>
      <c r="L380">
        <v>115</v>
      </c>
    </row>
    <row r="381" spans="1:13" x14ac:dyDescent="0.35">
      <c r="A381" t="s">
        <v>1360</v>
      </c>
      <c r="B381" t="s">
        <v>1361</v>
      </c>
      <c r="C381" t="s">
        <v>183</v>
      </c>
      <c r="D381" s="8">
        <v>46150</v>
      </c>
      <c r="E381" s="8">
        <v>46163</v>
      </c>
      <c r="G381" t="s">
        <v>596</v>
      </c>
      <c r="H381" s="6">
        <v>13558</v>
      </c>
      <c r="I381" s="6">
        <v>10670</v>
      </c>
      <c r="J381" s="6">
        <v>0</v>
      </c>
      <c r="K381" t="s">
        <v>585</v>
      </c>
      <c r="L381">
        <v>7</v>
      </c>
    </row>
    <row r="382" spans="1:13" x14ac:dyDescent="0.35">
      <c r="A382" t="s">
        <v>1362</v>
      </c>
      <c r="B382" t="s">
        <v>1363</v>
      </c>
      <c r="C382" t="s">
        <v>313</v>
      </c>
      <c r="D382" s="8">
        <v>46026</v>
      </c>
      <c r="E382" s="8">
        <v>46033</v>
      </c>
      <c r="F382" s="8">
        <v>46056</v>
      </c>
      <c r="G382" t="s">
        <v>580</v>
      </c>
      <c r="H382" s="6">
        <v>5355</v>
      </c>
      <c r="I382" s="6">
        <v>3209</v>
      </c>
      <c r="J382" s="6">
        <v>1338</v>
      </c>
      <c r="K382" t="s">
        <v>607</v>
      </c>
      <c r="L382">
        <v>137</v>
      </c>
      <c r="M382" t="s">
        <v>746</v>
      </c>
    </row>
    <row r="383" spans="1:13" x14ac:dyDescent="0.35">
      <c r="A383" t="s">
        <v>1364</v>
      </c>
      <c r="B383" t="s">
        <v>1365</v>
      </c>
      <c r="C383" t="s">
        <v>243</v>
      </c>
      <c r="D383" s="8">
        <v>46041</v>
      </c>
      <c r="E383" s="8">
        <v>46049</v>
      </c>
      <c r="F383" s="8">
        <v>46062</v>
      </c>
      <c r="G383" t="s">
        <v>596</v>
      </c>
      <c r="H383" s="6">
        <v>3056</v>
      </c>
      <c r="I383" s="6">
        <v>2489</v>
      </c>
      <c r="J383" s="6">
        <v>2429</v>
      </c>
      <c r="K383" t="s">
        <v>581</v>
      </c>
      <c r="L383">
        <v>13</v>
      </c>
    </row>
    <row r="384" spans="1:13" x14ac:dyDescent="0.35">
      <c r="A384" t="s">
        <v>1366</v>
      </c>
      <c r="B384" t="s">
        <v>1367</v>
      </c>
      <c r="C384" t="s">
        <v>310</v>
      </c>
      <c r="D384" s="8">
        <v>46096</v>
      </c>
      <c r="E384" s="8">
        <v>46107</v>
      </c>
      <c r="F384" s="8">
        <v>46116</v>
      </c>
      <c r="G384" t="s">
        <v>584</v>
      </c>
      <c r="H384" s="6">
        <v>3708</v>
      </c>
      <c r="I384" s="6">
        <v>2243</v>
      </c>
      <c r="J384" s="6">
        <v>2184</v>
      </c>
      <c r="K384" t="s">
        <v>581</v>
      </c>
      <c r="L384">
        <v>9</v>
      </c>
    </row>
    <row r="385" spans="1:13" x14ac:dyDescent="0.35">
      <c r="A385" t="s">
        <v>1368</v>
      </c>
      <c r="B385" t="s">
        <v>1369</v>
      </c>
      <c r="C385" t="s">
        <v>480</v>
      </c>
      <c r="D385" s="8">
        <v>46065</v>
      </c>
      <c r="E385" s="8">
        <v>46070</v>
      </c>
      <c r="F385" s="8">
        <v>46090</v>
      </c>
      <c r="G385" t="s">
        <v>588</v>
      </c>
      <c r="H385" s="6">
        <v>2534</v>
      </c>
      <c r="I385" s="6">
        <v>1300</v>
      </c>
      <c r="J385" s="6">
        <v>1265</v>
      </c>
      <c r="K385" t="s">
        <v>581</v>
      </c>
      <c r="L385">
        <v>20</v>
      </c>
    </row>
    <row r="386" spans="1:13" x14ac:dyDescent="0.35">
      <c r="A386" t="s">
        <v>1370</v>
      </c>
      <c r="B386" t="s">
        <v>1371</v>
      </c>
      <c r="C386" t="s">
        <v>257</v>
      </c>
      <c r="D386" s="8">
        <v>46026</v>
      </c>
      <c r="E386" s="8">
        <v>46034</v>
      </c>
      <c r="F386" s="8">
        <v>46039</v>
      </c>
      <c r="G386" t="s">
        <v>584</v>
      </c>
      <c r="H386" s="6">
        <v>13404</v>
      </c>
      <c r="I386" s="6">
        <v>7603</v>
      </c>
      <c r="J386" s="6">
        <v>7535</v>
      </c>
      <c r="K386" t="s">
        <v>581</v>
      </c>
      <c r="L386">
        <v>5</v>
      </c>
    </row>
    <row r="387" spans="1:13" x14ac:dyDescent="0.35">
      <c r="A387" t="s">
        <v>1372</v>
      </c>
      <c r="B387" t="s">
        <v>1373</v>
      </c>
      <c r="C387" t="s">
        <v>230</v>
      </c>
      <c r="D387" s="8">
        <v>46120</v>
      </c>
      <c r="E387" s="8">
        <v>46132</v>
      </c>
      <c r="F387" s="8">
        <v>46146</v>
      </c>
      <c r="G387" t="s">
        <v>584</v>
      </c>
      <c r="H387" s="6">
        <v>6615</v>
      </c>
      <c r="I387" s="6">
        <v>4252</v>
      </c>
      <c r="J387" s="6">
        <v>0</v>
      </c>
      <c r="K387" t="s">
        <v>653</v>
      </c>
      <c r="L387">
        <v>14</v>
      </c>
      <c r="M387" t="s">
        <v>874</v>
      </c>
    </row>
    <row r="388" spans="1:13" x14ac:dyDescent="0.35">
      <c r="A388" t="s">
        <v>1374</v>
      </c>
      <c r="B388" t="s">
        <v>1375</v>
      </c>
      <c r="C388" t="s">
        <v>218</v>
      </c>
      <c r="D388" s="8">
        <v>46086</v>
      </c>
      <c r="E388" s="8">
        <v>46104</v>
      </c>
      <c r="G388" t="s">
        <v>596</v>
      </c>
      <c r="H388" s="6">
        <v>6027</v>
      </c>
      <c r="I388" s="6">
        <v>4136</v>
      </c>
      <c r="J388" s="6">
        <v>0</v>
      </c>
      <c r="K388" t="s">
        <v>585</v>
      </c>
      <c r="L388">
        <v>66</v>
      </c>
    </row>
    <row r="389" spans="1:13" x14ac:dyDescent="0.35">
      <c r="A389" t="s">
        <v>1376</v>
      </c>
      <c r="B389" t="s">
        <v>1377</v>
      </c>
      <c r="C389" t="s">
        <v>485</v>
      </c>
      <c r="D389" s="8">
        <v>46108</v>
      </c>
      <c r="E389" s="8">
        <v>46118</v>
      </c>
      <c r="F389" s="8">
        <v>46123</v>
      </c>
      <c r="G389" t="s">
        <v>596</v>
      </c>
      <c r="H389" s="6">
        <v>4865</v>
      </c>
      <c r="I389" s="6">
        <v>2736</v>
      </c>
      <c r="J389" s="6">
        <v>2651</v>
      </c>
      <c r="K389" t="s">
        <v>581</v>
      </c>
      <c r="L389">
        <v>5</v>
      </c>
    </row>
    <row r="390" spans="1:13" x14ac:dyDescent="0.35">
      <c r="A390" t="s">
        <v>1378</v>
      </c>
      <c r="B390" t="s">
        <v>1379</v>
      </c>
      <c r="C390" t="s">
        <v>193</v>
      </c>
      <c r="D390" s="8">
        <v>46068</v>
      </c>
      <c r="E390" s="8">
        <v>46083</v>
      </c>
      <c r="F390" s="8">
        <v>46097</v>
      </c>
      <c r="G390" t="s">
        <v>580</v>
      </c>
      <c r="H390" s="6">
        <v>3825</v>
      </c>
      <c r="I390" s="6">
        <v>2232</v>
      </c>
      <c r="J390" s="6">
        <v>2163</v>
      </c>
      <c r="K390" t="s">
        <v>581</v>
      </c>
      <c r="L390">
        <v>14</v>
      </c>
    </row>
    <row r="391" spans="1:13" x14ac:dyDescent="0.35">
      <c r="A391" t="s">
        <v>1380</v>
      </c>
      <c r="B391" t="s">
        <v>1381</v>
      </c>
      <c r="C391" t="s">
        <v>218</v>
      </c>
      <c r="D391" s="8">
        <v>46130</v>
      </c>
      <c r="E391" s="8">
        <v>46140</v>
      </c>
      <c r="F391" s="8">
        <v>46159</v>
      </c>
      <c r="G391" t="s">
        <v>593</v>
      </c>
      <c r="H391" s="6">
        <v>6290</v>
      </c>
      <c r="I391" s="6">
        <v>3471</v>
      </c>
      <c r="J391" s="6">
        <v>3445</v>
      </c>
      <c r="K391" t="s">
        <v>581</v>
      </c>
      <c r="L391">
        <v>19</v>
      </c>
    </row>
    <row r="392" spans="1:13" x14ac:dyDescent="0.35">
      <c r="A392" t="s">
        <v>1382</v>
      </c>
      <c r="B392" t="s">
        <v>1383</v>
      </c>
      <c r="C392" t="s">
        <v>109</v>
      </c>
      <c r="D392" s="8">
        <v>46047</v>
      </c>
      <c r="E392" s="8">
        <v>46064</v>
      </c>
      <c r="G392" t="s">
        <v>596</v>
      </c>
      <c r="H392" s="6">
        <v>10327</v>
      </c>
      <c r="I392" s="6">
        <v>5411</v>
      </c>
      <c r="J392" s="6">
        <v>0</v>
      </c>
      <c r="K392" t="s">
        <v>585</v>
      </c>
      <c r="L392">
        <v>106</v>
      </c>
    </row>
    <row r="393" spans="1:13" x14ac:dyDescent="0.35">
      <c r="A393" t="s">
        <v>1384</v>
      </c>
      <c r="B393" t="s">
        <v>1385</v>
      </c>
      <c r="C393" t="s">
        <v>35</v>
      </c>
      <c r="D393" s="8">
        <v>46130</v>
      </c>
      <c r="E393" s="8">
        <v>46138</v>
      </c>
      <c r="F393" s="8">
        <v>46162</v>
      </c>
      <c r="G393" t="s">
        <v>580</v>
      </c>
      <c r="H393" s="6">
        <v>7684</v>
      </c>
      <c r="I393" s="6">
        <v>3863</v>
      </c>
      <c r="J393" s="6">
        <v>3849</v>
      </c>
      <c r="K393" t="s">
        <v>581</v>
      </c>
      <c r="L393">
        <v>24</v>
      </c>
    </row>
    <row r="394" spans="1:13" x14ac:dyDescent="0.35">
      <c r="A394" t="s">
        <v>1386</v>
      </c>
      <c r="B394" t="s">
        <v>1387</v>
      </c>
      <c r="C394" t="s">
        <v>233</v>
      </c>
      <c r="D394" s="8">
        <v>46107</v>
      </c>
      <c r="E394" s="8">
        <v>46117</v>
      </c>
      <c r="F394" s="8">
        <v>46144</v>
      </c>
      <c r="G394" t="s">
        <v>596</v>
      </c>
      <c r="H394" s="6">
        <v>6418</v>
      </c>
      <c r="I394" s="6">
        <v>4785</v>
      </c>
      <c r="J394" s="6">
        <v>0</v>
      </c>
      <c r="K394" t="s">
        <v>653</v>
      </c>
      <c r="L394">
        <v>27</v>
      </c>
      <c r="M394" t="s">
        <v>1025</v>
      </c>
    </row>
    <row r="395" spans="1:13" x14ac:dyDescent="0.35">
      <c r="A395" t="s">
        <v>1388</v>
      </c>
      <c r="B395" t="s">
        <v>1389</v>
      </c>
      <c r="C395" t="s">
        <v>506</v>
      </c>
      <c r="D395" s="8">
        <v>46157</v>
      </c>
      <c r="E395" s="8">
        <v>46160</v>
      </c>
      <c r="F395" s="8">
        <v>46173</v>
      </c>
      <c r="G395" t="s">
        <v>596</v>
      </c>
      <c r="H395" s="6">
        <v>3166</v>
      </c>
      <c r="I395" s="6">
        <v>1992</v>
      </c>
      <c r="J395" s="6">
        <v>0</v>
      </c>
      <c r="K395" t="s">
        <v>653</v>
      </c>
      <c r="L395">
        <v>13</v>
      </c>
      <c r="M395" t="s">
        <v>874</v>
      </c>
    </row>
    <row r="396" spans="1:13" x14ac:dyDescent="0.35">
      <c r="A396" t="s">
        <v>1390</v>
      </c>
      <c r="B396" t="s">
        <v>1391</v>
      </c>
      <c r="C396" t="s">
        <v>109</v>
      </c>
      <c r="D396" s="8">
        <v>46080</v>
      </c>
      <c r="E396" s="8">
        <v>46094</v>
      </c>
      <c r="F396" s="8">
        <v>46116</v>
      </c>
      <c r="G396" t="s">
        <v>580</v>
      </c>
      <c r="H396" s="6">
        <v>5168</v>
      </c>
      <c r="I396" s="6">
        <v>3581</v>
      </c>
      <c r="J396" s="6">
        <v>3452</v>
      </c>
      <c r="K396" t="s">
        <v>581</v>
      </c>
      <c r="L396">
        <v>22</v>
      </c>
    </row>
    <row r="397" spans="1:13" x14ac:dyDescent="0.35">
      <c r="A397" t="s">
        <v>1392</v>
      </c>
      <c r="B397" t="s">
        <v>1393</v>
      </c>
      <c r="C397" t="s">
        <v>215</v>
      </c>
      <c r="D397" s="8">
        <v>46023</v>
      </c>
      <c r="E397" s="8">
        <v>46035</v>
      </c>
      <c r="G397" t="s">
        <v>584</v>
      </c>
      <c r="H397" s="6">
        <v>11289</v>
      </c>
      <c r="I397" s="6">
        <v>6989</v>
      </c>
      <c r="J397" s="6">
        <v>0</v>
      </c>
      <c r="K397" t="s">
        <v>585</v>
      </c>
      <c r="L397">
        <v>135</v>
      </c>
    </row>
    <row r="398" spans="1:13" x14ac:dyDescent="0.35">
      <c r="A398" t="s">
        <v>1394</v>
      </c>
      <c r="B398" t="s">
        <v>1395</v>
      </c>
      <c r="C398" t="s">
        <v>177</v>
      </c>
      <c r="D398" s="8">
        <v>46083</v>
      </c>
      <c r="E398" s="8">
        <v>46097</v>
      </c>
      <c r="F398" s="8">
        <v>46104</v>
      </c>
      <c r="G398" t="s">
        <v>593</v>
      </c>
      <c r="H398" s="6">
        <v>3159</v>
      </c>
      <c r="I398" s="6">
        <v>2306</v>
      </c>
      <c r="J398" s="6">
        <v>2217</v>
      </c>
      <c r="K398" t="s">
        <v>581</v>
      </c>
      <c r="L398">
        <v>7</v>
      </c>
    </row>
    <row r="399" spans="1:13" x14ac:dyDescent="0.35">
      <c r="A399" t="s">
        <v>1396</v>
      </c>
      <c r="B399" t="s">
        <v>1397</v>
      </c>
      <c r="C399" t="s">
        <v>278</v>
      </c>
      <c r="D399" s="8">
        <v>46100</v>
      </c>
      <c r="E399" s="8">
        <v>46107</v>
      </c>
      <c r="F399" s="8">
        <v>46114</v>
      </c>
      <c r="G399" t="s">
        <v>596</v>
      </c>
      <c r="H399" s="6">
        <v>602</v>
      </c>
      <c r="I399" s="6">
        <v>321</v>
      </c>
      <c r="J399" s="6">
        <v>317</v>
      </c>
      <c r="K399" t="s">
        <v>581</v>
      </c>
      <c r="L399">
        <v>7</v>
      </c>
    </row>
    <row r="400" spans="1:13" x14ac:dyDescent="0.35">
      <c r="A400" t="s">
        <v>1398</v>
      </c>
      <c r="B400" t="s">
        <v>1399</v>
      </c>
      <c r="C400" t="s">
        <v>263</v>
      </c>
      <c r="D400" s="8">
        <v>46014</v>
      </c>
      <c r="E400" s="8">
        <v>46019</v>
      </c>
      <c r="G400" t="s">
        <v>593</v>
      </c>
      <c r="H400" s="6">
        <v>650</v>
      </c>
      <c r="I400" s="6">
        <v>295</v>
      </c>
      <c r="J400" s="6">
        <v>0</v>
      </c>
      <c r="K400" t="s">
        <v>585</v>
      </c>
      <c r="L400">
        <v>151</v>
      </c>
    </row>
    <row r="401" spans="1:13" x14ac:dyDescent="0.35">
      <c r="A401" t="s">
        <v>1400</v>
      </c>
      <c r="B401" t="s">
        <v>1401</v>
      </c>
      <c r="C401" t="s">
        <v>325</v>
      </c>
      <c r="D401" s="8">
        <v>46155</v>
      </c>
      <c r="E401" s="8">
        <v>46165</v>
      </c>
      <c r="G401" t="s">
        <v>593</v>
      </c>
      <c r="H401" s="6">
        <v>6890</v>
      </c>
      <c r="I401" s="6">
        <v>3879</v>
      </c>
      <c r="J401" s="6">
        <v>0</v>
      </c>
      <c r="K401" t="s">
        <v>585</v>
      </c>
      <c r="L401">
        <v>5</v>
      </c>
    </row>
    <row r="402" spans="1:13" x14ac:dyDescent="0.35">
      <c r="A402" t="s">
        <v>1402</v>
      </c>
      <c r="B402" t="s">
        <v>1403</v>
      </c>
      <c r="C402" t="s">
        <v>94</v>
      </c>
      <c r="D402" s="8">
        <v>46053</v>
      </c>
      <c r="E402" s="8">
        <v>46069</v>
      </c>
      <c r="G402" t="s">
        <v>596</v>
      </c>
      <c r="H402" s="6">
        <v>4421</v>
      </c>
      <c r="I402" s="6">
        <v>3537</v>
      </c>
      <c r="J402" s="6">
        <v>0</v>
      </c>
      <c r="K402" t="s">
        <v>585</v>
      </c>
      <c r="L402">
        <v>101</v>
      </c>
    </row>
    <row r="403" spans="1:13" x14ac:dyDescent="0.35">
      <c r="A403" t="s">
        <v>1404</v>
      </c>
      <c r="B403" t="s">
        <v>1405</v>
      </c>
      <c r="C403" t="s">
        <v>424</v>
      </c>
      <c r="D403" s="8">
        <v>46095</v>
      </c>
      <c r="E403" s="8">
        <v>46108</v>
      </c>
      <c r="F403" s="8">
        <v>46115</v>
      </c>
      <c r="G403" t="s">
        <v>580</v>
      </c>
      <c r="H403" s="6">
        <v>16722</v>
      </c>
      <c r="I403" s="6">
        <v>9544</v>
      </c>
      <c r="J403" s="6">
        <v>9543</v>
      </c>
      <c r="K403" t="s">
        <v>581</v>
      </c>
      <c r="L403">
        <v>7</v>
      </c>
    </row>
    <row r="404" spans="1:13" x14ac:dyDescent="0.35">
      <c r="A404" t="s">
        <v>1406</v>
      </c>
      <c r="B404" t="s">
        <v>1407</v>
      </c>
      <c r="C404" t="s">
        <v>240</v>
      </c>
      <c r="D404" s="8">
        <v>46027</v>
      </c>
      <c r="E404" s="8">
        <v>46041</v>
      </c>
      <c r="F404" s="8">
        <v>46062</v>
      </c>
      <c r="G404" t="s">
        <v>596</v>
      </c>
      <c r="H404" s="6">
        <v>10972</v>
      </c>
      <c r="I404" s="6">
        <v>8767</v>
      </c>
      <c r="J404" s="6">
        <v>8442</v>
      </c>
      <c r="K404" t="s">
        <v>581</v>
      </c>
      <c r="L404">
        <v>21</v>
      </c>
    </row>
    <row r="405" spans="1:13" x14ac:dyDescent="0.35">
      <c r="A405" t="s">
        <v>1408</v>
      </c>
      <c r="B405" t="s">
        <v>1409</v>
      </c>
      <c r="C405" t="s">
        <v>168</v>
      </c>
      <c r="D405" s="8">
        <v>46128</v>
      </c>
      <c r="E405" s="8">
        <v>46134</v>
      </c>
      <c r="F405" s="8">
        <v>46172</v>
      </c>
      <c r="G405" t="s">
        <v>580</v>
      </c>
      <c r="H405" s="6">
        <v>11673</v>
      </c>
      <c r="I405" s="6">
        <v>7754</v>
      </c>
      <c r="J405" s="6">
        <v>3358</v>
      </c>
      <c r="K405" t="s">
        <v>607</v>
      </c>
      <c r="L405">
        <v>36</v>
      </c>
      <c r="M405" t="s">
        <v>767</v>
      </c>
    </row>
    <row r="406" spans="1:13" x14ac:dyDescent="0.35">
      <c r="A406" t="s">
        <v>1410</v>
      </c>
      <c r="B406" t="s">
        <v>1411</v>
      </c>
      <c r="C406" t="s">
        <v>493</v>
      </c>
      <c r="D406" s="8">
        <v>46050</v>
      </c>
      <c r="E406" s="8">
        <v>46067</v>
      </c>
      <c r="F406" s="8">
        <v>46086</v>
      </c>
      <c r="G406" t="s">
        <v>588</v>
      </c>
      <c r="H406" s="6">
        <v>210</v>
      </c>
      <c r="I406" s="6">
        <v>172</v>
      </c>
      <c r="J406" s="6">
        <v>165</v>
      </c>
      <c r="K406" t="s">
        <v>581</v>
      </c>
      <c r="L406">
        <v>19</v>
      </c>
    </row>
    <row r="407" spans="1:13" x14ac:dyDescent="0.35">
      <c r="A407" t="s">
        <v>1412</v>
      </c>
      <c r="B407" t="s">
        <v>1413</v>
      </c>
      <c r="C407" t="s">
        <v>106</v>
      </c>
      <c r="D407" s="8">
        <v>46098</v>
      </c>
      <c r="E407" s="8">
        <v>46116</v>
      </c>
      <c r="F407" s="8">
        <v>46139</v>
      </c>
      <c r="G407" t="s">
        <v>584</v>
      </c>
      <c r="H407" s="6">
        <v>1344</v>
      </c>
      <c r="I407" s="6">
        <v>979</v>
      </c>
      <c r="J407" s="6">
        <v>945</v>
      </c>
      <c r="K407" t="s">
        <v>581</v>
      </c>
      <c r="L407">
        <v>23</v>
      </c>
    </row>
    <row r="408" spans="1:13" x14ac:dyDescent="0.35">
      <c r="A408" t="s">
        <v>1414</v>
      </c>
      <c r="B408" t="s">
        <v>1415</v>
      </c>
      <c r="C408" t="s">
        <v>456</v>
      </c>
      <c r="D408" s="8">
        <v>46015</v>
      </c>
      <c r="E408" s="8">
        <v>46030</v>
      </c>
      <c r="G408" t="s">
        <v>596</v>
      </c>
      <c r="H408" s="6">
        <v>15149</v>
      </c>
      <c r="I408" s="6">
        <v>8581</v>
      </c>
      <c r="J408" s="6">
        <v>0</v>
      </c>
      <c r="K408" t="s">
        <v>585</v>
      </c>
      <c r="L408">
        <v>140</v>
      </c>
    </row>
    <row r="409" spans="1:13" x14ac:dyDescent="0.35">
      <c r="A409" t="s">
        <v>1416</v>
      </c>
      <c r="B409" t="s">
        <v>1417</v>
      </c>
      <c r="C409" t="s">
        <v>171</v>
      </c>
      <c r="D409" s="8">
        <v>46043</v>
      </c>
      <c r="E409" s="8">
        <v>46046</v>
      </c>
      <c r="F409" s="8">
        <v>46069</v>
      </c>
      <c r="G409" t="s">
        <v>580</v>
      </c>
      <c r="H409" s="6">
        <v>16465</v>
      </c>
      <c r="I409" s="6">
        <v>8567</v>
      </c>
      <c r="J409" s="6">
        <v>8140</v>
      </c>
      <c r="K409" t="s">
        <v>581</v>
      </c>
      <c r="L409">
        <v>23</v>
      </c>
    </row>
    <row r="410" spans="1:13" x14ac:dyDescent="0.35">
      <c r="A410" t="s">
        <v>1418</v>
      </c>
      <c r="B410" t="s">
        <v>1419</v>
      </c>
      <c r="C410" t="s">
        <v>149</v>
      </c>
      <c r="D410" s="8">
        <v>46021</v>
      </c>
      <c r="E410" s="8">
        <v>46035</v>
      </c>
      <c r="F410" s="8">
        <v>46048</v>
      </c>
      <c r="G410" t="s">
        <v>593</v>
      </c>
      <c r="H410" s="6">
        <v>10231</v>
      </c>
      <c r="I410" s="6">
        <v>7385</v>
      </c>
      <c r="J410" s="6">
        <v>7112</v>
      </c>
      <c r="K410" t="s">
        <v>581</v>
      </c>
      <c r="L410">
        <v>13</v>
      </c>
    </row>
    <row r="411" spans="1:13" x14ac:dyDescent="0.35">
      <c r="A411" t="s">
        <v>1420</v>
      </c>
      <c r="B411" t="s">
        <v>1421</v>
      </c>
      <c r="C411" t="s">
        <v>475</v>
      </c>
      <c r="D411" s="8">
        <v>46122</v>
      </c>
      <c r="E411" s="8">
        <v>46131</v>
      </c>
      <c r="G411" t="s">
        <v>588</v>
      </c>
      <c r="H411" s="6">
        <v>495</v>
      </c>
      <c r="I411" s="6">
        <v>354</v>
      </c>
      <c r="J411" s="6">
        <v>0</v>
      </c>
      <c r="K411" t="s">
        <v>585</v>
      </c>
      <c r="L411">
        <v>39</v>
      </c>
    </row>
    <row r="412" spans="1:13" x14ac:dyDescent="0.35">
      <c r="A412" t="s">
        <v>1422</v>
      </c>
      <c r="B412" t="s">
        <v>1423</v>
      </c>
      <c r="C412" t="s">
        <v>278</v>
      </c>
      <c r="D412" s="8">
        <v>46113</v>
      </c>
      <c r="E412" s="8">
        <v>46128</v>
      </c>
      <c r="F412" s="8">
        <v>46152</v>
      </c>
      <c r="G412" t="s">
        <v>593</v>
      </c>
      <c r="H412" s="6">
        <v>15442</v>
      </c>
      <c r="I412" s="6">
        <v>11118</v>
      </c>
      <c r="J412" s="6">
        <v>10864</v>
      </c>
      <c r="K412" t="s">
        <v>581</v>
      </c>
      <c r="L412">
        <v>24</v>
      </c>
    </row>
    <row r="413" spans="1:13" x14ac:dyDescent="0.35">
      <c r="A413" t="s">
        <v>1424</v>
      </c>
      <c r="B413" t="s">
        <v>1425</v>
      </c>
      <c r="C413" t="s">
        <v>322</v>
      </c>
      <c r="D413" s="8">
        <v>46026</v>
      </c>
      <c r="E413" s="8">
        <v>46029</v>
      </c>
      <c r="F413" s="8">
        <v>46038</v>
      </c>
      <c r="G413" t="s">
        <v>593</v>
      </c>
      <c r="H413" s="6">
        <v>9640</v>
      </c>
      <c r="I413" s="6">
        <v>4806</v>
      </c>
      <c r="J413" s="6">
        <v>4684</v>
      </c>
      <c r="K413" t="s">
        <v>581</v>
      </c>
      <c r="L413">
        <v>9</v>
      </c>
    </row>
    <row r="414" spans="1:13" x14ac:dyDescent="0.35">
      <c r="A414" t="s">
        <v>1426</v>
      </c>
      <c r="B414" t="s">
        <v>1427</v>
      </c>
      <c r="C414" t="s">
        <v>290</v>
      </c>
      <c r="D414" s="8">
        <v>46021</v>
      </c>
      <c r="E414" s="8">
        <v>46034</v>
      </c>
      <c r="G414" t="s">
        <v>584</v>
      </c>
      <c r="H414" s="6">
        <v>13418</v>
      </c>
      <c r="I414" s="6">
        <v>7273</v>
      </c>
      <c r="J414" s="6">
        <v>0</v>
      </c>
      <c r="K414" t="s">
        <v>585</v>
      </c>
      <c r="L414">
        <v>136</v>
      </c>
    </row>
    <row r="415" spans="1:13" x14ac:dyDescent="0.35">
      <c r="A415" t="s">
        <v>1428</v>
      </c>
      <c r="B415" t="s">
        <v>1429</v>
      </c>
      <c r="C415" t="s">
        <v>275</v>
      </c>
      <c r="D415" s="8">
        <v>46095</v>
      </c>
      <c r="E415" s="8">
        <v>46108</v>
      </c>
      <c r="F415" s="8">
        <v>46132</v>
      </c>
      <c r="G415" t="s">
        <v>584</v>
      </c>
      <c r="H415" s="6">
        <v>10100</v>
      </c>
      <c r="I415" s="6">
        <v>7022</v>
      </c>
      <c r="J415" s="6">
        <v>6861</v>
      </c>
      <c r="K415" t="s">
        <v>581</v>
      </c>
      <c r="L415">
        <v>24</v>
      </c>
    </row>
    <row r="416" spans="1:13" x14ac:dyDescent="0.35">
      <c r="A416" t="s">
        <v>1430</v>
      </c>
      <c r="B416" t="s">
        <v>1431</v>
      </c>
      <c r="C416" t="s">
        <v>551</v>
      </c>
      <c r="D416" s="8">
        <v>46109</v>
      </c>
      <c r="E416" s="8">
        <v>46123</v>
      </c>
      <c r="F416" s="8">
        <v>46142</v>
      </c>
      <c r="G416" t="s">
        <v>596</v>
      </c>
      <c r="H416" s="6">
        <v>8071</v>
      </c>
      <c r="I416" s="6">
        <v>5536</v>
      </c>
      <c r="J416" s="6">
        <v>5481</v>
      </c>
      <c r="K416" t="s">
        <v>581</v>
      </c>
      <c r="L416">
        <v>19</v>
      </c>
    </row>
    <row r="417" spans="1:13" x14ac:dyDescent="0.35">
      <c r="A417" t="s">
        <v>1432</v>
      </c>
      <c r="B417" t="s">
        <v>1433</v>
      </c>
      <c r="C417" t="s">
        <v>87</v>
      </c>
      <c r="D417" s="8">
        <v>46027</v>
      </c>
      <c r="E417" s="8">
        <v>46039</v>
      </c>
      <c r="F417" s="8">
        <v>46058</v>
      </c>
      <c r="G417" t="s">
        <v>588</v>
      </c>
      <c r="H417" s="6">
        <v>5216</v>
      </c>
      <c r="I417" s="6">
        <v>3189</v>
      </c>
      <c r="J417" s="6">
        <v>3172</v>
      </c>
      <c r="K417" t="s">
        <v>581</v>
      </c>
      <c r="L417">
        <v>19</v>
      </c>
    </row>
    <row r="418" spans="1:13" x14ac:dyDescent="0.35">
      <c r="A418" t="s">
        <v>1434</v>
      </c>
      <c r="B418" t="s">
        <v>1435</v>
      </c>
      <c r="C418" t="s">
        <v>328</v>
      </c>
      <c r="D418" s="8">
        <v>46141</v>
      </c>
      <c r="E418" s="8">
        <v>46152</v>
      </c>
      <c r="F418" s="8">
        <v>46162</v>
      </c>
      <c r="G418" t="s">
        <v>596</v>
      </c>
      <c r="H418" s="6">
        <v>11964</v>
      </c>
      <c r="I418" s="6">
        <v>5927</v>
      </c>
      <c r="J418" s="6">
        <v>5666</v>
      </c>
      <c r="K418" t="s">
        <v>581</v>
      </c>
      <c r="L418">
        <v>10</v>
      </c>
    </row>
    <row r="419" spans="1:13" x14ac:dyDescent="0.35">
      <c r="A419" t="s">
        <v>1436</v>
      </c>
      <c r="B419" t="s">
        <v>1437</v>
      </c>
      <c r="C419" t="s">
        <v>513</v>
      </c>
      <c r="D419" s="8">
        <v>46038</v>
      </c>
      <c r="E419" s="8">
        <v>46046</v>
      </c>
      <c r="F419" s="8">
        <v>46063</v>
      </c>
      <c r="G419" t="s">
        <v>584</v>
      </c>
      <c r="H419" s="6">
        <v>347</v>
      </c>
      <c r="I419" s="6">
        <v>249</v>
      </c>
      <c r="J419" s="6">
        <v>244</v>
      </c>
      <c r="K419" t="s">
        <v>581</v>
      </c>
      <c r="L419">
        <v>17</v>
      </c>
    </row>
    <row r="420" spans="1:13" x14ac:dyDescent="0.35">
      <c r="A420" t="s">
        <v>1438</v>
      </c>
      <c r="B420" t="s">
        <v>1439</v>
      </c>
      <c r="C420" t="s">
        <v>235</v>
      </c>
      <c r="D420" s="8">
        <v>46025</v>
      </c>
      <c r="E420" s="8">
        <v>46032</v>
      </c>
      <c r="F420" s="8">
        <v>46047</v>
      </c>
      <c r="G420" t="s">
        <v>593</v>
      </c>
      <c r="H420" s="6">
        <v>15703</v>
      </c>
      <c r="I420" s="6">
        <v>12904</v>
      </c>
      <c r="J420" s="6">
        <v>12754</v>
      </c>
      <c r="K420" t="s">
        <v>581</v>
      </c>
      <c r="L420">
        <v>15</v>
      </c>
    </row>
    <row r="421" spans="1:13" x14ac:dyDescent="0.35">
      <c r="A421" t="s">
        <v>1440</v>
      </c>
      <c r="B421" t="s">
        <v>1441</v>
      </c>
      <c r="C421" t="s">
        <v>496</v>
      </c>
      <c r="D421" s="8">
        <v>46044</v>
      </c>
      <c r="E421" s="8">
        <v>46060</v>
      </c>
      <c r="G421" t="s">
        <v>580</v>
      </c>
      <c r="H421" s="6">
        <v>1341</v>
      </c>
      <c r="I421" s="6">
        <v>629</v>
      </c>
      <c r="J421" s="6">
        <v>0</v>
      </c>
      <c r="K421" t="s">
        <v>585</v>
      </c>
      <c r="L421">
        <v>110</v>
      </c>
    </row>
    <row r="422" spans="1:13" x14ac:dyDescent="0.35">
      <c r="A422" t="s">
        <v>1442</v>
      </c>
      <c r="B422" t="s">
        <v>1443</v>
      </c>
      <c r="C422" t="s">
        <v>278</v>
      </c>
      <c r="D422" s="8">
        <v>46027</v>
      </c>
      <c r="E422" s="8">
        <v>46030</v>
      </c>
      <c r="F422" s="8">
        <v>46050</v>
      </c>
      <c r="G422" t="s">
        <v>593</v>
      </c>
      <c r="H422" s="6">
        <v>11490</v>
      </c>
      <c r="I422" s="6">
        <v>7054</v>
      </c>
      <c r="J422" s="6">
        <v>0</v>
      </c>
      <c r="K422" t="s">
        <v>653</v>
      </c>
      <c r="L422">
        <v>20</v>
      </c>
      <c r="M422" t="s">
        <v>694</v>
      </c>
    </row>
    <row r="423" spans="1:13" x14ac:dyDescent="0.35">
      <c r="A423" t="s">
        <v>1444</v>
      </c>
      <c r="B423" t="s">
        <v>1445</v>
      </c>
      <c r="C423" t="s">
        <v>313</v>
      </c>
      <c r="D423" s="8">
        <v>46071</v>
      </c>
      <c r="E423" s="8">
        <v>46089</v>
      </c>
      <c r="F423" s="8">
        <v>46101</v>
      </c>
      <c r="G423" t="s">
        <v>596</v>
      </c>
      <c r="H423" s="6">
        <v>14730</v>
      </c>
      <c r="I423" s="6">
        <v>10914</v>
      </c>
      <c r="J423" s="6">
        <v>10629</v>
      </c>
      <c r="K423" t="s">
        <v>581</v>
      </c>
      <c r="L423">
        <v>12</v>
      </c>
    </row>
    <row r="424" spans="1:13" x14ac:dyDescent="0.35">
      <c r="A424" t="s">
        <v>1446</v>
      </c>
      <c r="B424" t="s">
        <v>1447</v>
      </c>
      <c r="C424" t="s">
        <v>129</v>
      </c>
      <c r="D424" s="8">
        <v>46083</v>
      </c>
      <c r="E424" s="8">
        <v>46093</v>
      </c>
      <c r="F424" s="8">
        <v>46116</v>
      </c>
      <c r="G424" t="s">
        <v>596</v>
      </c>
      <c r="H424" s="6">
        <v>8800</v>
      </c>
      <c r="I424" s="6">
        <v>5570</v>
      </c>
      <c r="J424" s="6">
        <v>5393</v>
      </c>
      <c r="K424" t="s">
        <v>581</v>
      </c>
      <c r="L424">
        <v>23</v>
      </c>
    </row>
    <row r="425" spans="1:13" x14ac:dyDescent="0.35">
      <c r="A425" t="s">
        <v>1448</v>
      </c>
      <c r="B425" t="s">
        <v>1449</v>
      </c>
      <c r="C425" t="s">
        <v>237</v>
      </c>
      <c r="D425" s="8">
        <v>46142</v>
      </c>
      <c r="E425" s="8">
        <v>46159</v>
      </c>
      <c r="F425" s="8">
        <v>46171</v>
      </c>
      <c r="G425" t="s">
        <v>584</v>
      </c>
      <c r="H425" s="6">
        <v>1304</v>
      </c>
      <c r="I425" s="6">
        <v>709</v>
      </c>
      <c r="J425" s="6">
        <v>708</v>
      </c>
      <c r="K425" t="s">
        <v>581</v>
      </c>
      <c r="L425">
        <v>12</v>
      </c>
    </row>
    <row r="426" spans="1:13" x14ac:dyDescent="0.35">
      <c r="A426" t="s">
        <v>1450</v>
      </c>
      <c r="B426" t="s">
        <v>1451</v>
      </c>
      <c r="C426" t="s">
        <v>551</v>
      </c>
      <c r="D426" s="8">
        <v>46088</v>
      </c>
      <c r="E426" s="8">
        <v>46103</v>
      </c>
      <c r="F426" s="8">
        <v>46121</v>
      </c>
      <c r="G426" t="s">
        <v>584</v>
      </c>
      <c r="H426" s="6">
        <v>1809</v>
      </c>
      <c r="I426" s="6">
        <v>818</v>
      </c>
      <c r="J426" s="6">
        <v>807</v>
      </c>
      <c r="K426" t="s">
        <v>581</v>
      </c>
      <c r="L426">
        <v>18</v>
      </c>
    </row>
    <row r="427" spans="1:13" x14ac:dyDescent="0.35">
      <c r="A427" t="s">
        <v>1452</v>
      </c>
      <c r="B427" t="s">
        <v>1453</v>
      </c>
      <c r="C427" t="s">
        <v>269</v>
      </c>
      <c r="D427" s="8">
        <v>46059</v>
      </c>
      <c r="E427" s="8">
        <v>46076</v>
      </c>
      <c r="F427" s="8">
        <v>46101</v>
      </c>
      <c r="G427" t="s">
        <v>588</v>
      </c>
      <c r="H427" s="6">
        <v>15554</v>
      </c>
      <c r="I427" s="6">
        <v>12901</v>
      </c>
      <c r="J427" s="6">
        <v>12386</v>
      </c>
      <c r="K427" t="s">
        <v>581</v>
      </c>
      <c r="L427">
        <v>25</v>
      </c>
    </row>
    <row r="428" spans="1:13" x14ac:dyDescent="0.35">
      <c r="A428" t="s">
        <v>1454</v>
      </c>
      <c r="B428" t="s">
        <v>1455</v>
      </c>
      <c r="C428" t="s">
        <v>171</v>
      </c>
      <c r="D428" s="8">
        <v>46046</v>
      </c>
      <c r="E428" s="8">
        <v>46063</v>
      </c>
      <c r="F428" s="8">
        <v>46068</v>
      </c>
      <c r="G428" t="s">
        <v>580</v>
      </c>
      <c r="H428" s="6">
        <v>15182</v>
      </c>
      <c r="I428" s="6">
        <v>8401</v>
      </c>
      <c r="J428" s="6">
        <v>8286</v>
      </c>
      <c r="K428" t="s">
        <v>581</v>
      </c>
      <c r="L428">
        <v>5</v>
      </c>
    </row>
    <row r="429" spans="1:13" x14ac:dyDescent="0.35">
      <c r="A429" t="s">
        <v>1456</v>
      </c>
      <c r="B429" t="s">
        <v>1457</v>
      </c>
      <c r="C429" t="s">
        <v>348</v>
      </c>
      <c r="D429" s="8">
        <v>46112</v>
      </c>
      <c r="E429" s="8">
        <v>46128</v>
      </c>
      <c r="F429" s="8">
        <v>46139</v>
      </c>
      <c r="G429" t="s">
        <v>580</v>
      </c>
      <c r="H429" s="6">
        <v>6753</v>
      </c>
      <c r="I429" s="6">
        <v>5478</v>
      </c>
      <c r="J429" s="6">
        <v>5377</v>
      </c>
      <c r="K429" t="s">
        <v>581</v>
      </c>
      <c r="L429">
        <v>11</v>
      </c>
    </row>
    <row r="430" spans="1:13" x14ac:dyDescent="0.35">
      <c r="A430" t="s">
        <v>1458</v>
      </c>
      <c r="B430" t="s">
        <v>1459</v>
      </c>
      <c r="C430" t="s">
        <v>463</v>
      </c>
      <c r="D430" s="8">
        <v>46156</v>
      </c>
      <c r="E430" s="8">
        <v>46161</v>
      </c>
      <c r="F430" s="8">
        <v>46177</v>
      </c>
      <c r="G430" t="s">
        <v>584</v>
      </c>
      <c r="H430" s="6">
        <v>16663</v>
      </c>
      <c r="I430" s="6">
        <v>11895</v>
      </c>
      <c r="J430" s="6">
        <v>11778</v>
      </c>
      <c r="K430" t="s">
        <v>581</v>
      </c>
      <c r="L430">
        <v>16</v>
      </c>
    </row>
    <row r="431" spans="1:13" x14ac:dyDescent="0.35">
      <c r="A431" t="s">
        <v>1460</v>
      </c>
      <c r="B431" t="s">
        <v>1461</v>
      </c>
      <c r="C431" t="s">
        <v>437</v>
      </c>
      <c r="D431" s="8">
        <v>46053</v>
      </c>
      <c r="E431" s="8">
        <v>46061</v>
      </c>
      <c r="F431" s="8">
        <v>46085</v>
      </c>
      <c r="G431" t="s">
        <v>596</v>
      </c>
      <c r="H431" s="6">
        <v>872</v>
      </c>
      <c r="I431" s="6">
        <v>650</v>
      </c>
      <c r="J431" s="6">
        <v>643</v>
      </c>
      <c r="K431" t="s">
        <v>581</v>
      </c>
      <c r="L431">
        <v>24</v>
      </c>
    </row>
    <row r="432" spans="1:13" x14ac:dyDescent="0.35">
      <c r="A432" t="s">
        <v>1462</v>
      </c>
      <c r="B432" t="s">
        <v>1463</v>
      </c>
      <c r="C432" t="s">
        <v>399</v>
      </c>
      <c r="D432" s="8">
        <v>46141</v>
      </c>
      <c r="E432" s="8">
        <v>46159</v>
      </c>
      <c r="F432" s="8">
        <v>46173</v>
      </c>
      <c r="G432" t="s">
        <v>588</v>
      </c>
      <c r="H432" s="6">
        <v>6040</v>
      </c>
      <c r="I432" s="6">
        <v>3409</v>
      </c>
      <c r="J432" s="6">
        <v>3386</v>
      </c>
      <c r="K432" t="s">
        <v>581</v>
      </c>
      <c r="L432">
        <v>14</v>
      </c>
    </row>
    <row r="433" spans="1:13" x14ac:dyDescent="0.35">
      <c r="A433" t="s">
        <v>1464</v>
      </c>
      <c r="B433" t="s">
        <v>1465</v>
      </c>
      <c r="C433" t="s">
        <v>201</v>
      </c>
      <c r="D433" s="8">
        <v>46011</v>
      </c>
      <c r="E433" s="8">
        <v>46024</v>
      </c>
      <c r="F433" s="8">
        <v>46048</v>
      </c>
      <c r="G433" t="s">
        <v>588</v>
      </c>
      <c r="H433" s="6">
        <v>5318</v>
      </c>
      <c r="I433" s="6">
        <v>4294</v>
      </c>
      <c r="J433" s="6">
        <v>4173</v>
      </c>
      <c r="K433" t="s">
        <v>581</v>
      </c>
      <c r="L433">
        <v>24</v>
      </c>
    </row>
    <row r="434" spans="1:13" x14ac:dyDescent="0.35">
      <c r="A434" t="s">
        <v>1466</v>
      </c>
      <c r="B434" t="s">
        <v>1467</v>
      </c>
      <c r="C434" t="s">
        <v>196</v>
      </c>
      <c r="D434" s="8">
        <v>46074</v>
      </c>
      <c r="E434" s="8">
        <v>46085</v>
      </c>
      <c r="F434" s="8">
        <v>46097</v>
      </c>
      <c r="G434" t="s">
        <v>593</v>
      </c>
      <c r="H434" s="6">
        <v>7403</v>
      </c>
      <c r="I434" s="6">
        <v>6061</v>
      </c>
      <c r="J434" s="6">
        <v>5940</v>
      </c>
      <c r="K434" t="s">
        <v>581</v>
      </c>
      <c r="L434">
        <v>12</v>
      </c>
    </row>
    <row r="435" spans="1:13" x14ac:dyDescent="0.35">
      <c r="A435" t="s">
        <v>1468</v>
      </c>
      <c r="B435" t="s">
        <v>1469</v>
      </c>
      <c r="C435" t="s">
        <v>454</v>
      </c>
      <c r="D435" s="8">
        <v>46133</v>
      </c>
      <c r="E435" s="8">
        <v>46149</v>
      </c>
      <c r="F435" s="8">
        <v>46170</v>
      </c>
      <c r="G435" t="s">
        <v>596</v>
      </c>
      <c r="H435" s="6">
        <v>3208</v>
      </c>
      <c r="I435" s="6">
        <v>1780</v>
      </c>
      <c r="J435" s="6">
        <v>1771</v>
      </c>
      <c r="K435" t="s">
        <v>581</v>
      </c>
      <c r="L435">
        <v>21</v>
      </c>
    </row>
    <row r="436" spans="1:13" x14ac:dyDescent="0.35">
      <c r="A436" t="s">
        <v>1470</v>
      </c>
      <c r="B436" t="s">
        <v>1471</v>
      </c>
      <c r="C436" t="s">
        <v>553</v>
      </c>
      <c r="D436" s="8">
        <v>46109</v>
      </c>
      <c r="E436" s="8">
        <v>46123</v>
      </c>
      <c r="F436" s="8">
        <v>46131</v>
      </c>
      <c r="G436" t="s">
        <v>584</v>
      </c>
      <c r="H436" s="6">
        <v>5855</v>
      </c>
      <c r="I436" s="6">
        <v>4869</v>
      </c>
      <c r="J436" s="6">
        <v>4710</v>
      </c>
      <c r="K436" t="s">
        <v>581</v>
      </c>
      <c r="L436">
        <v>8</v>
      </c>
    </row>
    <row r="437" spans="1:13" x14ac:dyDescent="0.35">
      <c r="A437" t="s">
        <v>1472</v>
      </c>
      <c r="B437" t="s">
        <v>1473</v>
      </c>
      <c r="C437" t="s">
        <v>98</v>
      </c>
      <c r="D437" s="8">
        <v>46023</v>
      </c>
      <c r="E437" s="8">
        <v>46035</v>
      </c>
      <c r="F437" s="8">
        <v>46054</v>
      </c>
      <c r="G437" t="s">
        <v>588</v>
      </c>
      <c r="H437" s="6">
        <v>17806</v>
      </c>
      <c r="I437" s="6">
        <v>9855</v>
      </c>
      <c r="J437" s="6">
        <v>9584</v>
      </c>
      <c r="K437" t="s">
        <v>581</v>
      </c>
      <c r="L437">
        <v>19</v>
      </c>
    </row>
    <row r="438" spans="1:13" x14ac:dyDescent="0.35">
      <c r="A438" t="s">
        <v>1474</v>
      </c>
      <c r="B438" t="s">
        <v>1475</v>
      </c>
      <c r="C438" t="s">
        <v>463</v>
      </c>
      <c r="D438" s="8">
        <v>46143</v>
      </c>
      <c r="E438" s="8">
        <v>46148</v>
      </c>
      <c r="G438" t="s">
        <v>596</v>
      </c>
      <c r="H438" s="6">
        <v>11889</v>
      </c>
      <c r="I438" s="6">
        <v>7415</v>
      </c>
      <c r="J438" s="6">
        <v>0</v>
      </c>
      <c r="K438" t="s">
        <v>585</v>
      </c>
      <c r="L438">
        <v>22</v>
      </c>
    </row>
    <row r="439" spans="1:13" x14ac:dyDescent="0.35">
      <c r="A439" t="s">
        <v>1476</v>
      </c>
      <c r="B439" t="s">
        <v>1477</v>
      </c>
      <c r="C439" t="s">
        <v>284</v>
      </c>
      <c r="D439" s="8">
        <v>46135</v>
      </c>
      <c r="E439" s="8">
        <v>46142</v>
      </c>
      <c r="F439" s="8">
        <v>46155</v>
      </c>
      <c r="G439" t="s">
        <v>596</v>
      </c>
      <c r="H439" s="6">
        <v>9418</v>
      </c>
      <c r="I439" s="6">
        <v>6295</v>
      </c>
      <c r="J439" s="6">
        <v>6066</v>
      </c>
      <c r="K439" t="s">
        <v>581</v>
      </c>
      <c r="L439">
        <v>13</v>
      </c>
    </row>
    <row r="440" spans="1:13" x14ac:dyDescent="0.35">
      <c r="A440" t="s">
        <v>1478</v>
      </c>
      <c r="B440" t="s">
        <v>1479</v>
      </c>
      <c r="C440" t="s">
        <v>435</v>
      </c>
      <c r="D440" s="8">
        <v>46082</v>
      </c>
      <c r="E440" s="8">
        <v>46090</v>
      </c>
      <c r="F440" s="8">
        <v>46103</v>
      </c>
      <c r="G440" t="s">
        <v>580</v>
      </c>
      <c r="H440" s="6">
        <v>16294</v>
      </c>
      <c r="I440" s="6">
        <v>10154</v>
      </c>
      <c r="J440" s="6">
        <v>9655</v>
      </c>
      <c r="K440" t="s">
        <v>581</v>
      </c>
      <c r="L440">
        <v>13</v>
      </c>
    </row>
    <row r="441" spans="1:13" x14ac:dyDescent="0.35">
      <c r="A441" t="s">
        <v>1480</v>
      </c>
      <c r="B441" t="s">
        <v>1481</v>
      </c>
      <c r="C441" t="s">
        <v>363</v>
      </c>
      <c r="D441" s="8">
        <v>46065</v>
      </c>
      <c r="E441" s="8">
        <v>46077</v>
      </c>
      <c r="F441" s="8">
        <v>46087</v>
      </c>
      <c r="G441" t="s">
        <v>596</v>
      </c>
      <c r="H441" s="6">
        <v>15380</v>
      </c>
      <c r="I441" s="6">
        <v>12932</v>
      </c>
      <c r="J441" s="6">
        <v>12604</v>
      </c>
      <c r="K441" t="s">
        <v>581</v>
      </c>
      <c r="L441">
        <v>10</v>
      </c>
    </row>
    <row r="442" spans="1:13" x14ac:dyDescent="0.35">
      <c r="A442" t="s">
        <v>1482</v>
      </c>
      <c r="B442" t="s">
        <v>1483</v>
      </c>
      <c r="C442" t="s">
        <v>322</v>
      </c>
      <c r="D442" s="8">
        <v>46043</v>
      </c>
      <c r="E442" s="8">
        <v>46052</v>
      </c>
      <c r="F442" s="8">
        <v>46063</v>
      </c>
      <c r="G442" t="s">
        <v>596</v>
      </c>
      <c r="H442" s="6">
        <v>4242</v>
      </c>
      <c r="I442" s="6">
        <v>2124</v>
      </c>
      <c r="J442" s="6">
        <v>2055</v>
      </c>
      <c r="K442" t="s">
        <v>581</v>
      </c>
      <c r="L442">
        <v>11</v>
      </c>
    </row>
    <row r="443" spans="1:13" x14ac:dyDescent="0.35">
      <c r="A443" t="s">
        <v>1484</v>
      </c>
      <c r="B443" t="s">
        <v>1485</v>
      </c>
      <c r="C443" t="s">
        <v>180</v>
      </c>
      <c r="D443" s="8">
        <v>46108</v>
      </c>
      <c r="E443" s="8">
        <v>46124</v>
      </c>
      <c r="F443" s="8">
        <v>46135</v>
      </c>
      <c r="G443" t="s">
        <v>588</v>
      </c>
      <c r="H443" s="6">
        <v>14348</v>
      </c>
      <c r="I443" s="6">
        <v>7312</v>
      </c>
      <c r="J443" s="6">
        <v>7126</v>
      </c>
      <c r="K443" t="s">
        <v>581</v>
      </c>
      <c r="L443">
        <v>11</v>
      </c>
    </row>
    <row r="444" spans="1:13" x14ac:dyDescent="0.35">
      <c r="A444" t="s">
        <v>1486</v>
      </c>
      <c r="B444" t="s">
        <v>1487</v>
      </c>
      <c r="C444" t="s">
        <v>126</v>
      </c>
      <c r="D444" s="8">
        <v>46070</v>
      </c>
      <c r="E444" s="8">
        <v>46074</v>
      </c>
      <c r="F444" s="8">
        <v>46080</v>
      </c>
      <c r="G444" t="s">
        <v>596</v>
      </c>
      <c r="H444" s="6">
        <v>14258</v>
      </c>
      <c r="I444" s="6">
        <v>6835</v>
      </c>
      <c r="J444" s="6">
        <v>6609</v>
      </c>
      <c r="K444" t="s">
        <v>581</v>
      </c>
      <c r="L444">
        <v>6</v>
      </c>
    </row>
    <row r="445" spans="1:13" x14ac:dyDescent="0.35">
      <c r="A445" t="s">
        <v>1488</v>
      </c>
      <c r="B445" t="s">
        <v>1489</v>
      </c>
      <c r="C445" t="s">
        <v>287</v>
      </c>
      <c r="D445" s="8">
        <v>46137</v>
      </c>
      <c r="E445" s="8">
        <v>46143</v>
      </c>
      <c r="G445" t="s">
        <v>593</v>
      </c>
      <c r="H445" s="6">
        <v>10071</v>
      </c>
      <c r="I445" s="6">
        <v>5560</v>
      </c>
      <c r="J445" s="6">
        <v>0</v>
      </c>
      <c r="K445" t="s">
        <v>671</v>
      </c>
      <c r="L445">
        <v>27</v>
      </c>
      <c r="M445" t="s">
        <v>675</v>
      </c>
    </row>
    <row r="446" spans="1:13" x14ac:dyDescent="0.35">
      <c r="A446" t="s">
        <v>1490</v>
      </c>
      <c r="B446" t="s">
        <v>1491</v>
      </c>
      <c r="C446" t="s">
        <v>456</v>
      </c>
      <c r="D446" s="8">
        <v>46079</v>
      </c>
      <c r="E446" s="8">
        <v>46090</v>
      </c>
      <c r="F446" s="8">
        <v>46102</v>
      </c>
      <c r="G446" t="s">
        <v>588</v>
      </c>
      <c r="H446" s="6">
        <v>637</v>
      </c>
      <c r="I446" s="6">
        <v>406</v>
      </c>
      <c r="J446" s="6">
        <v>393</v>
      </c>
      <c r="K446" t="s">
        <v>581</v>
      </c>
      <c r="L446">
        <v>12</v>
      </c>
    </row>
    <row r="447" spans="1:13" x14ac:dyDescent="0.35">
      <c r="A447" t="s">
        <v>1492</v>
      </c>
      <c r="B447" t="s">
        <v>1493</v>
      </c>
      <c r="C447" t="s">
        <v>204</v>
      </c>
      <c r="D447" s="8">
        <v>46027</v>
      </c>
      <c r="E447" s="8">
        <v>46041</v>
      </c>
      <c r="F447" s="8">
        <v>46060</v>
      </c>
      <c r="G447" t="s">
        <v>596</v>
      </c>
      <c r="H447" s="6">
        <v>4060</v>
      </c>
      <c r="I447" s="6">
        <v>1909</v>
      </c>
      <c r="J447" s="6">
        <v>1849</v>
      </c>
      <c r="K447" t="s">
        <v>581</v>
      </c>
      <c r="L447">
        <v>19</v>
      </c>
    </row>
    <row r="448" spans="1:13" x14ac:dyDescent="0.35">
      <c r="A448" t="s">
        <v>1494</v>
      </c>
      <c r="B448" t="s">
        <v>1495</v>
      </c>
      <c r="C448" t="s">
        <v>460</v>
      </c>
      <c r="D448" s="8">
        <v>46128</v>
      </c>
      <c r="E448" s="8">
        <v>46146</v>
      </c>
      <c r="F448" s="8">
        <v>46159</v>
      </c>
      <c r="G448" t="s">
        <v>588</v>
      </c>
      <c r="H448" s="6">
        <v>12286</v>
      </c>
      <c r="I448" s="6">
        <v>9590</v>
      </c>
      <c r="J448" s="6">
        <v>9525</v>
      </c>
      <c r="K448" t="s">
        <v>581</v>
      </c>
      <c r="L448">
        <v>13</v>
      </c>
    </row>
    <row r="449" spans="1:13" x14ac:dyDescent="0.35">
      <c r="A449" t="s">
        <v>1496</v>
      </c>
      <c r="B449" t="s">
        <v>1497</v>
      </c>
      <c r="C449" t="s">
        <v>158</v>
      </c>
      <c r="D449" s="8">
        <v>46086</v>
      </c>
      <c r="E449" s="8">
        <v>46099</v>
      </c>
      <c r="F449" s="8">
        <v>46124</v>
      </c>
      <c r="G449" t="s">
        <v>593</v>
      </c>
      <c r="H449" s="6">
        <v>14271</v>
      </c>
      <c r="I449" s="6">
        <v>8795</v>
      </c>
      <c r="J449" s="6">
        <v>8570</v>
      </c>
      <c r="K449" t="s">
        <v>581</v>
      </c>
      <c r="L449">
        <v>25</v>
      </c>
    </row>
    <row r="450" spans="1:13" x14ac:dyDescent="0.35">
      <c r="A450" t="s">
        <v>1498</v>
      </c>
      <c r="B450" t="s">
        <v>1499</v>
      </c>
      <c r="C450" t="s">
        <v>287</v>
      </c>
      <c r="D450" s="8">
        <v>46114</v>
      </c>
      <c r="E450" s="8">
        <v>46128</v>
      </c>
      <c r="F450" s="8">
        <v>46142</v>
      </c>
      <c r="G450" t="s">
        <v>580</v>
      </c>
      <c r="H450" s="6">
        <v>4946</v>
      </c>
      <c r="I450" s="6">
        <v>3239</v>
      </c>
      <c r="J450" s="6">
        <v>0</v>
      </c>
      <c r="K450" t="s">
        <v>653</v>
      </c>
      <c r="L450">
        <v>14</v>
      </c>
      <c r="M450" t="s">
        <v>654</v>
      </c>
    </row>
    <row r="451" spans="1:13" x14ac:dyDescent="0.35">
      <c r="A451" t="s">
        <v>1500</v>
      </c>
      <c r="B451" t="s">
        <v>1501</v>
      </c>
      <c r="C451" t="s">
        <v>230</v>
      </c>
      <c r="D451" s="8">
        <v>46043</v>
      </c>
      <c r="E451" s="8">
        <v>46060</v>
      </c>
      <c r="G451" t="s">
        <v>580</v>
      </c>
      <c r="H451" s="6">
        <v>12394</v>
      </c>
      <c r="I451" s="6">
        <v>9688</v>
      </c>
      <c r="J451" s="6">
        <v>0</v>
      </c>
      <c r="K451" t="s">
        <v>585</v>
      </c>
      <c r="L451">
        <v>110</v>
      </c>
    </row>
    <row r="452" spans="1:13" x14ac:dyDescent="0.35">
      <c r="A452" t="s">
        <v>1502</v>
      </c>
      <c r="B452" t="s">
        <v>1503</v>
      </c>
      <c r="C452" t="s">
        <v>454</v>
      </c>
      <c r="D452" s="8">
        <v>46151</v>
      </c>
      <c r="E452" s="8">
        <v>46168</v>
      </c>
      <c r="G452" t="s">
        <v>596</v>
      </c>
      <c r="H452" s="6">
        <v>14923</v>
      </c>
      <c r="I452" s="6">
        <v>7373</v>
      </c>
      <c r="J452" s="6">
        <v>0</v>
      </c>
      <c r="K452" t="s">
        <v>671</v>
      </c>
      <c r="L452">
        <v>2</v>
      </c>
      <c r="M452" t="s">
        <v>672</v>
      </c>
    </row>
    <row r="453" spans="1:13" x14ac:dyDescent="0.35">
      <c r="A453" t="s">
        <v>1504</v>
      </c>
      <c r="B453" t="s">
        <v>1505</v>
      </c>
      <c r="C453" t="s">
        <v>506</v>
      </c>
      <c r="D453" s="8">
        <v>46022</v>
      </c>
      <c r="E453" s="8">
        <v>46040</v>
      </c>
      <c r="F453" s="8">
        <v>46058</v>
      </c>
      <c r="G453" t="s">
        <v>593</v>
      </c>
      <c r="H453" s="6">
        <v>2266</v>
      </c>
      <c r="I453" s="6">
        <v>1273</v>
      </c>
      <c r="J453" s="6">
        <v>1248</v>
      </c>
      <c r="K453" t="s">
        <v>581</v>
      </c>
      <c r="L453">
        <v>18</v>
      </c>
    </row>
    <row r="454" spans="1:13" x14ac:dyDescent="0.35">
      <c r="A454" t="s">
        <v>1506</v>
      </c>
      <c r="B454" t="s">
        <v>1507</v>
      </c>
      <c r="C454" t="s">
        <v>548</v>
      </c>
      <c r="D454" s="8">
        <v>46043</v>
      </c>
      <c r="E454" s="8">
        <v>46059</v>
      </c>
      <c r="F454" s="8">
        <v>46082</v>
      </c>
      <c r="G454" t="s">
        <v>580</v>
      </c>
      <c r="H454" s="6">
        <v>950</v>
      </c>
      <c r="I454" s="6">
        <v>647</v>
      </c>
      <c r="J454" s="6">
        <v>617</v>
      </c>
      <c r="K454" t="s">
        <v>581</v>
      </c>
      <c r="L454">
        <v>23</v>
      </c>
    </row>
    <row r="455" spans="1:13" x14ac:dyDescent="0.35">
      <c r="A455" t="s">
        <v>1508</v>
      </c>
      <c r="B455" t="s">
        <v>1509</v>
      </c>
      <c r="C455" t="s">
        <v>304</v>
      </c>
      <c r="D455" s="8">
        <v>46143</v>
      </c>
      <c r="E455" s="8">
        <v>46159</v>
      </c>
      <c r="F455" s="8">
        <v>46174</v>
      </c>
      <c r="G455" t="s">
        <v>593</v>
      </c>
      <c r="H455" s="6">
        <v>6625</v>
      </c>
      <c r="I455" s="6">
        <v>5415</v>
      </c>
      <c r="J455" s="6">
        <v>5164</v>
      </c>
      <c r="K455" t="s">
        <v>581</v>
      </c>
      <c r="L455">
        <v>15</v>
      </c>
    </row>
    <row r="456" spans="1:13" x14ac:dyDescent="0.35">
      <c r="A456" t="s">
        <v>1510</v>
      </c>
      <c r="B456" t="s">
        <v>1511</v>
      </c>
      <c r="C456" t="s">
        <v>460</v>
      </c>
      <c r="D456" s="8">
        <v>46070</v>
      </c>
      <c r="E456" s="8">
        <v>46078</v>
      </c>
      <c r="F456" s="8">
        <v>46094</v>
      </c>
      <c r="G456" t="s">
        <v>596</v>
      </c>
      <c r="H456" s="6">
        <v>8830</v>
      </c>
      <c r="I456" s="6">
        <v>7272</v>
      </c>
      <c r="J456" s="6">
        <v>7143</v>
      </c>
      <c r="K456" t="s">
        <v>581</v>
      </c>
      <c r="L456">
        <v>16</v>
      </c>
    </row>
    <row r="457" spans="1:13" x14ac:dyDescent="0.35">
      <c r="A457" t="s">
        <v>1512</v>
      </c>
      <c r="B457" t="s">
        <v>1513</v>
      </c>
      <c r="C457" t="s">
        <v>424</v>
      </c>
      <c r="D457" s="8">
        <v>46104</v>
      </c>
      <c r="E457" s="8">
        <v>46110</v>
      </c>
      <c r="G457" t="s">
        <v>588</v>
      </c>
      <c r="H457" s="6">
        <v>10774</v>
      </c>
      <c r="I457" s="6">
        <v>8964</v>
      </c>
      <c r="J457" s="6">
        <v>0</v>
      </c>
      <c r="K457" t="s">
        <v>585</v>
      </c>
      <c r="L457">
        <v>60</v>
      </c>
    </row>
    <row r="458" spans="1:13" x14ac:dyDescent="0.35">
      <c r="A458" t="s">
        <v>1514</v>
      </c>
      <c r="B458" t="s">
        <v>1515</v>
      </c>
      <c r="C458" t="s">
        <v>269</v>
      </c>
      <c r="D458" s="8">
        <v>46087</v>
      </c>
      <c r="E458" s="8">
        <v>46090</v>
      </c>
      <c r="F458" s="8">
        <v>46115</v>
      </c>
      <c r="G458" t="s">
        <v>580</v>
      </c>
      <c r="H458" s="6">
        <v>12724</v>
      </c>
      <c r="I458" s="6">
        <v>8067</v>
      </c>
      <c r="J458" s="6">
        <v>7746</v>
      </c>
      <c r="K458" t="s">
        <v>581</v>
      </c>
      <c r="L458">
        <v>25</v>
      </c>
    </row>
    <row r="459" spans="1:13" x14ac:dyDescent="0.35">
      <c r="A459" t="s">
        <v>1516</v>
      </c>
      <c r="B459" t="s">
        <v>1517</v>
      </c>
      <c r="C459" t="s">
        <v>342</v>
      </c>
      <c r="D459" s="8">
        <v>46147</v>
      </c>
      <c r="E459" s="8">
        <v>46152</v>
      </c>
      <c r="G459" t="s">
        <v>588</v>
      </c>
      <c r="H459" s="6">
        <v>7692</v>
      </c>
      <c r="I459" s="6">
        <v>3969</v>
      </c>
      <c r="J459" s="6">
        <v>0</v>
      </c>
      <c r="K459" t="s">
        <v>585</v>
      </c>
      <c r="L459">
        <v>18</v>
      </c>
    </row>
    <row r="460" spans="1:13" x14ac:dyDescent="0.35">
      <c r="A460" t="s">
        <v>1518</v>
      </c>
      <c r="B460" t="s">
        <v>1519</v>
      </c>
      <c r="C460" t="s">
        <v>53</v>
      </c>
      <c r="D460" s="8">
        <v>46020</v>
      </c>
      <c r="E460" s="8">
        <v>46037</v>
      </c>
      <c r="F460" s="8">
        <v>46056</v>
      </c>
      <c r="G460" t="s">
        <v>593</v>
      </c>
      <c r="H460" s="6">
        <v>7365</v>
      </c>
      <c r="I460" s="6">
        <v>5059</v>
      </c>
      <c r="J460" s="6">
        <v>4918</v>
      </c>
      <c r="K460" t="s">
        <v>581</v>
      </c>
      <c r="L460">
        <v>19</v>
      </c>
    </row>
    <row r="461" spans="1:13" x14ac:dyDescent="0.35">
      <c r="A461" t="s">
        <v>1520</v>
      </c>
      <c r="B461" t="s">
        <v>1521</v>
      </c>
      <c r="C461" t="s">
        <v>135</v>
      </c>
      <c r="D461" s="8">
        <v>46147</v>
      </c>
      <c r="E461" s="8">
        <v>46158</v>
      </c>
      <c r="G461" t="s">
        <v>593</v>
      </c>
      <c r="H461" s="6">
        <v>8893</v>
      </c>
      <c r="I461" s="6">
        <v>7531</v>
      </c>
      <c r="J461" s="6">
        <v>0</v>
      </c>
      <c r="K461" t="s">
        <v>585</v>
      </c>
      <c r="L461">
        <v>12</v>
      </c>
    </row>
    <row r="462" spans="1:13" x14ac:dyDescent="0.35">
      <c r="A462" t="s">
        <v>1522</v>
      </c>
      <c r="B462" t="s">
        <v>1523</v>
      </c>
      <c r="C462" t="s">
        <v>212</v>
      </c>
      <c r="D462" s="8">
        <v>46155</v>
      </c>
      <c r="E462" s="8">
        <v>46172</v>
      </c>
      <c r="F462" s="8">
        <v>46191</v>
      </c>
      <c r="G462" t="s">
        <v>588</v>
      </c>
      <c r="H462" s="6">
        <v>17814</v>
      </c>
      <c r="I462" s="6">
        <v>14352</v>
      </c>
      <c r="J462" s="6">
        <v>13937</v>
      </c>
      <c r="K462" t="s">
        <v>581</v>
      </c>
      <c r="L462">
        <v>19</v>
      </c>
    </row>
    <row r="463" spans="1:13" x14ac:dyDescent="0.35">
      <c r="A463" t="s">
        <v>1524</v>
      </c>
      <c r="B463" t="s">
        <v>1525</v>
      </c>
      <c r="C463" t="s">
        <v>386</v>
      </c>
      <c r="D463" s="8">
        <v>46054</v>
      </c>
      <c r="E463" s="8">
        <v>46069</v>
      </c>
      <c r="G463" t="s">
        <v>588</v>
      </c>
      <c r="H463" s="6">
        <v>6668</v>
      </c>
      <c r="I463" s="6">
        <v>4174</v>
      </c>
      <c r="J463" s="6">
        <v>0</v>
      </c>
      <c r="K463" t="s">
        <v>585</v>
      </c>
      <c r="L463">
        <v>101</v>
      </c>
    </row>
    <row r="464" spans="1:13" x14ac:dyDescent="0.35">
      <c r="A464" t="s">
        <v>1526</v>
      </c>
      <c r="B464" t="s">
        <v>1527</v>
      </c>
      <c r="C464" t="s">
        <v>380</v>
      </c>
      <c r="D464" s="8">
        <v>46145</v>
      </c>
      <c r="E464" s="8">
        <v>46155</v>
      </c>
      <c r="F464" s="8">
        <v>46170</v>
      </c>
      <c r="G464" t="s">
        <v>588</v>
      </c>
      <c r="H464" s="6">
        <v>2201</v>
      </c>
      <c r="I464" s="6">
        <v>1512</v>
      </c>
      <c r="J464" s="6">
        <v>0</v>
      </c>
      <c r="K464" t="s">
        <v>653</v>
      </c>
      <c r="L464">
        <v>15</v>
      </c>
      <c r="M464" t="s">
        <v>874</v>
      </c>
    </row>
    <row r="465" spans="1:13" x14ac:dyDescent="0.35">
      <c r="A465" t="s">
        <v>1528</v>
      </c>
      <c r="B465" t="s">
        <v>1529</v>
      </c>
      <c r="C465" t="s">
        <v>296</v>
      </c>
      <c r="D465" s="8">
        <v>46146</v>
      </c>
      <c r="E465" s="8">
        <v>46150</v>
      </c>
      <c r="F465" s="8">
        <v>46157</v>
      </c>
      <c r="G465" t="s">
        <v>596</v>
      </c>
      <c r="H465" s="6">
        <v>3881</v>
      </c>
      <c r="I465" s="6">
        <v>3046</v>
      </c>
      <c r="J465" s="6">
        <v>3034</v>
      </c>
      <c r="K465" t="s">
        <v>581</v>
      </c>
      <c r="L465">
        <v>7</v>
      </c>
    </row>
    <row r="466" spans="1:13" x14ac:dyDescent="0.35">
      <c r="A466" t="s">
        <v>1530</v>
      </c>
      <c r="B466" t="s">
        <v>1531</v>
      </c>
      <c r="C466" t="s">
        <v>252</v>
      </c>
      <c r="D466" s="8">
        <v>46048</v>
      </c>
      <c r="E466" s="8">
        <v>46059</v>
      </c>
      <c r="F466" s="8">
        <v>46076</v>
      </c>
      <c r="G466" t="s">
        <v>580</v>
      </c>
      <c r="H466" s="6">
        <v>4992</v>
      </c>
      <c r="I466" s="6">
        <v>4010</v>
      </c>
      <c r="J466" s="6">
        <v>3932</v>
      </c>
      <c r="K466" t="s">
        <v>581</v>
      </c>
      <c r="L466">
        <v>17</v>
      </c>
    </row>
    <row r="467" spans="1:13" x14ac:dyDescent="0.35">
      <c r="A467" t="s">
        <v>1532</v>
      </c>
      <c r="B467" t="s">
        <v>1533</v>
      </c>
      <c r="C467" t="s">
        <v>266</v>
      </c>
      <c r="D467" s="8">
        <v>46045</v>
      </c>
      <c r="E467" s="8">
        <v>46054</v>
      </c>
      <c r="F467" s="8">
        <v>46077</v>
      </c>
      <c r="G467" t="s">
        <v>588</v>
      </c>
      <c r="H467" s="6">
        <v>8952</v>
      </c>
      <c r="I467" s="6">
        <v>6574</v>
      </c>
      <c r="J467" s="6">
        <v>6294</v>
      </c>
      <c r="K467" t="s">
        <v>581</v>
      </c>
      <c r="L467">
        <v>23</v>
      </c>
    </row>
    <row r="468" spans="1:13" x14ac:dyDescent="0.35">
      <c r="A468" t="s">
        <v>1534</v>
      </c>
      <c r="B468" t="s">
        <v>1535</v>
      </c>
      <c r="C468" t="s">
        <v>65</v>
      </c>
      <c r="D468" s="8">
        <v>46138</v>
      </c>
      <c r="E468" s="8">
        <v>46143</v>
      </c>
      <c r="G468" t="s">
        <v>580</v>
      </c>
      <c r="H468" s="6">
        <v>10128</v>
      </c>
      <c r="I468" s="6">
        <v>8530</v>
      </c>
      <c r="J468" s="6">
        <v>0</v>
      </c>
      <c r="K468" t="s">
        <v>671</v>
      </c>
      <c r="L468">
        <v>27</v>
      </c>
      <c r="M468" t="s">
        <v>855</v>
      </c>
    </row>
    <row r="469" spans="1:13" x14ac:dyDescent="0.35">
      <c r="A469" t="s">
        <v>1536</v>
      </c>
      <c r="B469" t="s">
        <v>1537</v>
      </c>
      <c r="C469" t="s">
        <v>537</v>
      </c>
      <c r="D469" s="8">
        <v>46045</v>
      </c>
      <c r="E469" s="8">
        <v>46058</v>
      </c>
      <c r="F469" s="8">
        <v>46076</v>
      </c>
      <c r="G469" t="s">
        <v>584</v>
      </c>
      <c r="H469" s="6">
        <v>11523</v>
      </c>
      <c r="I469" s="6">
        <v>8143</v>
      </c>
      <c r="J469" s="6">
        <v>7766</v>
      </c>
      <c r="K469" t="s">
        <v>581</v>
      </c>
      <c r="L469">
        <v>18</v>
      </c>
    </row>
    <row r="470" spans="1:13" x14ac:dyDescent="0.35">
      <c r="A470" t="s">
        <v>1538</v>
      </c>
      <c r="B470" t="s">
        <v>1539</v>
      </c>
      <c r="C470" t="s">
        <v>287</v>
      </c>
      <c r="D470" s="8">
        <v>46082</v>
      </c>
      <c r="E470" s="8">
        <v>46086</v>
      </c>
      <c r="F470" s="8">
        <v>46097</v>
      </c>
      <c r="G470" t="s">
        <v>588</v>
      </c>
      <c r="H470" s="6">
        <v>11698</v>
      </c>
      <c r="I470" s="6">
        <v>7218</v>
      </c>
      <c r="J470" s="6">
        <v>6992</v>
      </c>
      <c r="K470" t="s">
        <v>581</v>
      </c>
      <c r="L470">
        <v>11</v>
      </c>
    </row>
    <row r="471" spans="1:13" x14ac:dyDescent="0.35">
      <c r="A471" t="s">
        <v>1540</v>
      </c>
      <c r="B471" t="s">
        <v>1541</v>
      </c>
      <c r="C471" t="s">
        <v>139</v>
      </c>
      <c r="D471" s="8">
        <v>46037</v>
      </c>
      <c r="E471" s="8">
        <v>46052</v>
      </c>
      <c r="F471" s="8">
        <v>46071</v>
      </c>
      <c r="G471" t="s">
        <v>584</v>
      </c>
      <c r="H471" s="6">
        <v>12690</v>
      </c>
      <c r="I471" s="6">
        <v>5990</v>
      </c>
      <c r="J471" s="6">
        <v>5938</v>
      </c>
      <c r="K471" t="s">
        <v>581</v>
      </c>
      <c r="L471">
        <v>19</v>
      </c>
    </row>
    <row r="472" spans="1:13" x14ac:dyDescent="0.35">
      <c r="A472" t="s">
        <v>1542</v>
      </c>
      <c r="B472" t="s">
        <v>1543</v>
      </c>
      <c r="C472" t="s">
        <v>391</v>
      </c>
      <c r="D472" s="8">
        <v>46151</v>
      </c>
      <c r="E472" s="8">
        <v>46159</v>
      </c>
      <c r="F472" s="8">
        <v>46166</v>
      </c>
      <c r="G472" t="s">
        <v>584</v>
      </c>
      <c r="H472" s="6">
        <v>2189</v>
      </c>
      <c r="I472" s="6">
        <v>1576</v>
      </c>
      <c r="J472" s="6">
        <v>1522</v>
      </c>
      <c r="K472" t="s">
        <v>581</v>
      </c>
      <c r="L472">
        <v>7</v>
      </c>
    </row>
    <row r="473" spans="1:13" x14ac:dyDescent="0.35">
      <c r="A473" t="s">
        <v>1544</v>
      </c>
      <c r="B473" t="s">
        <v>1545</v>
      </c>
      <c r="C473" t="s">
        <v>480</v>
      </c>
      <c r="D473" s="8">
        <v>46040</v>
      </c>
      <c r="E473" s="8">
        <v>46047</v>
      </c>
      <c r="F473" s="8">
        <v>46059</v>
      </c>
      <c r="G473" t="s">
        <v>593</v>
      </c>
      <c r="H473" s="6">
        <v>16086</v>
      </c>
      <c r="I473" s="6">
        <v>8633</v>
      </c>
      <c r="J473" s="6">
        <v>8224</v>
      </c>
      <c r="K473" t="s">
        <v>581</v>
      </c>
      <c r="L473">
        <v>12</v>
      </c>
    </row>
    <row r="474" spans="1:13" x14ac:dyDescent="0.35">
      <c r="A474" t="s">
        <v>1546</v>
      </c>
      <c r="B474" t="s">
        <v>1547</v>
      </c>
      <c r="C474" t="s">
        <v>380</v>
      </c>
      <c r="D474" s="8">
        <v>46105</v>
      </c>
      <c r="E474" s="8">
        <v>46109</v>
      </c>
      <c r="G474" t="s">
        <v>584</v>
      </c>
      <c r="H474" s="6">
        <v>15571</v>
      </c>
      <c r="I474" s="6">
        <v>8498</v>
      </c>
      <c r="J474" s="6">
        <v>0</v>
      </c>
      <c r="K474" t="s">
        <v>585</v>
      </c>
      <c r="L474">
        <v>61</v>
      </c>
    </row>
    <row r="475" spans="1:13" x14ac:dyDescent="0.35">
      <c r="A475" t="s">
        <v>1548</v>
      </c>
      <c r="B475" t="s">
        <v>1549</v>
      </c>
      <c r="C475" t="s">
        <v>475</v>
      </c>
      <c r="D475" s="8">
        <v>46084</v>
      </c>
      <c r="E475" s="8">
        <v>46101</v>
      </c>
      <c r="G475" t="s">
        <v>584</v>
      </c>
      <c r="H475" s="6">
        <v>4223</v>
      </c>
      <c r="I475" s="6">
        <v>2984</v>
      </c>
      <c r="J475" s="6">
        <v>0</v>
      </c>
      <c r="K475" t="s">
        <v>585</v>
      </c>
      <c r="L475">
        <v>69</v>
      </c>
    </row>
    <row r="476" spans="1:13" x14ac:dyDescent="0.35">
      <c r="A476" t="s">
        <v>1550</v>
      </c>
      <c r="B476" t="s">
        <v>1551</v>
      </c>
      <c r="C476" t="s">
        <v>281</v>
      </c>
      <c r="D476" s="8">
        <v>46058</v>
      </c>
      <c r="E476" s="8">
        <v>46075</v>
      </c>
      <c r="F476" s="8">
        <v>46093</v>
      </c>
      <c r="G476" t="s">
        <v>593</v>
      </c>
      <c r="H476" s="6">
        <v>7100</v>
      </c>
      <c r="I476" s="6">
        <v>5453</v>
      </c>
      <c r="J476" s="6">
        <v>0</v>
      </c>
      <c r="K476" t="s">
        <v>653</v>
      </c>
      <c r="L476">
        <v>18</v>
      </c>
      <c r="M476" t="s">
        <v>654</v>
      </c>
    </row>
    <row r="477" spans="1:13" x14ac:dyDescent="0.35">
      <c r="A477" t="s">
        <v>1552</v>
      </c>
      <c r="B477" t="s">
        <v>1553</v>
      </c>
      <c r="C477" t="s">
        <v>98</v>
      </c>
      <c r="D477" s="8">
        <v>46025</v>
      </c>
      <c r="E477" s="8">
        <v>46042</v>
      </c>
      <c r="F477" s="8">
        <v>46067</v>
      </c>
      <c r="G477" t="s">
        <v>596</v>
      </c>
      <c r="H477" s="6">
        <v>7137</v>
      </c>
      <c r="I477" s="6">
        <v>3689</v>
      </c>
      <c r="J477" s="6">
        <v>3673</v>
      </c>
      <c r="K477" t="s">
        <v>581</v>
      </c>
      <c r="L477">
        <v>25</v>
      </c>
    </row>
    <row r="478" spans="1:13" x14ac:dyDescent="0.35">
      <c r="A478" t="s">
        <v>1554</v>
      </c>
      <c r="B478" t="s">
        <v>1555</v>
      </c>
      <c r="C478" t="s">
        <v>339</v>
      </c>
      <c r="D478" s="8">
        <v>46065</v>
      </c>
      <c r="E478" s="8">
        <v>46071</v>
      </c>
      <c r="F478" s="8">
        <v>46093</v>
      </c>
      <c r="G478" t="s">
        <v>584</v>
      </c>
      <c r="H478" s="6">
        <v>16602</v>
      </c>
      <c r="I478" s="6">
        <v>12012</v>
      </c>
      <c r="J478" s="6">
        <v>11424</v>
      </c>
      <c r="K478" t="s">
        <v>581</v>
      </c>
      <c r="L478">
        <v>22</v>
      </c>
    </row>
    <row r="479" spans="1:13" x14ac:dyDescent="0.35">
      <c r="A479" t="s">
        <v>1556</v>
      </c>
      <c r="B479" t="s">
        <v>1557</v>
      </c>
      <c r="C479" t="s">
        <v>278</v>
      </c>
      <c r="D479" s="8">
        <v>46064</v>
      </c>
      <c r="E479" s="8">
        <v>46079</v>
      </c>
      <c r="F479" s="8">
        <v>46085</v>
      </c>
      <c r="G479" t="s">
        <v>580</v>
      </c>
      <c r="H479" s="6">
        <v>9767</v>
      </c>
      <c r="I479" s="6">
        <v>7646</v>
      </c>
      <c r="J479" s="6">
        <v>7373</v>
      </c>
      <c r="K479" t="s">
        <v>581</v>
      </c>
      <c r="L479">
        <v>6</v>
      </c>
    </row>
    <row r="480" spans="1:13" x14ac:dyDescent="0.35">
      <c r="A480" t="s">
        <v>1558</v>
      </c>
      <c r="B480" t="s">
        <v>1559</v>
      </c>
      <c r="C480" t="s">
        <v>375</v>
      </c>
      <c r="D480" s="8">
        <v>46064</v>
      </c>
      <c r="E480" s="8">
        <v>46068</v>
      </c>
      <c r="F480" s="8">
        <v>46082</v>
      </c>
      <c r="G480" t="s">
        <v>580</v>
      </c>
      <c r="H480" s="6">
        <v>14204</v>
      </c>
      <c r="I480" s="6">
        <v>7909</v>
      </c>
      <c r="J480" s="6">
        <v>7868</v>
      </c>
      <c r="K480" t="s">
        <v>581</v>
      </c>
      <c r="L480">
        <v>14</v>
      </c>
    </row>
    <row r="481" spans="1:13" x14ac:dyDescent="0.35">
      <c r="A481" t="s">
        <v>1560</v>
      </c>
      <c r="B481" t="s">
        <v>1561</v>
      </c>
      <c r="C481" t="s">
        <v>478</v>
      </c>
      <c r="D481" s="8">
        <v>46102</v>
      </c>
      <c r="E481" s="8">
        <v>46105</v>
      </c>
      <c r="G481" t="s">
        <v>593</v>
      </c>
      <c r="H481" s="6">
        <v>13977</v>
      </c>
      <c r="I481" s="6">
        <v>6646</v>
      </c>
      <c r="J481" s="6">
        <v>0</v>
      </c>
      <c r="K481" t="s">
        <v>585</v>
      </c>
      <c r="L481">
        <v>65</v>
      </c>
    </row>
    <row r="482" spans="1:13" x14ac:dyDescent="0.35">
      <c r="A482" t="s">
        <v>1562</v>
      </c>
      <c r="B482" t="s">
        <v>1563</v>
      </c>
      <c r="C482" t="s">
        <v>421</v>
      </c>
      <c r="D482" s="8">
        <v>46160</v>
      </c>
      <c r="E482" s="8">
        <v>46163</v>
      </c>
      <c r="F482" s="8">
        <v>46182</v>
      </c>
      <c r="G482" t="s">
        <v>593</v>
      </c>
      <c r="H482" s="6">
        <v>14262</v>
      </c>
      <c r="I482" s="6">
        <v>6671</v>
      </c>
      <c r="J482" s="6">
        <v>6534</v>
      </c>
      <c r="K482" t="s">
        <v>581</v>
      </c>
      <c r="L482">
        <v>19</v>
      </c>
    </row>
    <row r="483" spans="1:13" x14ac:dyDescent="0.35">
      <c r="A483" t="s">
        <v>1564</v>
      </c>
      <c r="B483" t="s">
        <v>1565</v>
      </c>
      <c r="C483" t="s">
        <v>410</v>
      </c>
      <c r="D483" s="8">
        <v>46132</v>
      </c>
      <c r="E483" s="8">
        <v>46142</v>
      </c>
      <c r="F483" s="8">
        <v>46165</v>
      </c>
      <c r="G483" t="s">
        <v>596</v>
      </c>
      <c r="H483" s="6">
        <v>6474</v>
      </c>
      <c r="I483" s="6">
        <v>5137</v>
      </c>
      <c r="J483" s="6">
        <v>0</v>
      </c>
      <c r="K483" t="s">
        <v>653</v>
      </c>
      <c r="L483">
        <v>23</v>
      </c>
      <c r="M483" t="s">
        <v>732</v>
      </c>
    </row>
    <row r="484" spans="1:13" x14ac:dyDescent="0.35">
      <c r="A484" t="s">
        <v>1566</v>
      </c>
      <c r="B484" t="s">
        <v>1567</v>
      </c>
      <c r="C484" t="s">
        <v>496</v>
      </c>
      <c r="D484" s="8">
        <v>46142</v>
      </c>
      <c r="E484" s="8">
        <v>46148</v>
      </c>
      <c r="G484" t="s">
        <v>588</v>
      </c>
      <c r="H484" s="6">
        <v>4153</v>
      </c>
      <c r="I484" s="6">
        <v>3128</v>
      </c>
      <c r="J484" s="6">
        <v>0</v>
      </c>
      <c r="K484" t="s">
        <v>585</v>
      </c>
      <c r="L484">
        <v>22</v>
      </c>
    </row>
    <row r="485" spans="1:13" x14ac:dyDescent="0.35">
      <c r="A485" t="s">
        <v>1568</v>
      </c>
      <c r="B485" t="s">
        <v>1569</v>
      </c>
      <c r="C485" t="s">
        <v>354</v>
      </c>
      <c r="D485" s="8">
        <v>46106</v>
      </c>
      <c r="E485" s="8">
        <v>46117</v>
      </c>
      <c r="F485" s="8">
        <v>46139</v>
      </c>
      <c r="G485" t="s">
        <v>593</v>
      </c>
      <c r="H485" s="6">
        <v>3926</v>
      </c>
      <c r="I485" s="6">
        <v>2039</v>
      </c>
      <c r="J485" s="6">
        <v>248</v>
      </c>
      <c r="K485" t="s">
        <v>607</v>
      </c>
      <c r="L485">
        <v>53</v>
      </c>
      <c r="M485" t="s">
        <v>767</v>
      </c>
    </row>
    <row r="486" spans="1:13" x14ac:dyDescent="0.35">
      <c r="A486" t="s">
        <v>1570</v>
      </c>
      <c r="B486" t="s">
        <v>1571</v>
      </c>
      <c r="C486" t="s">
        <v>158</v>
      </c>
      <c r="D486" s="8">
        <v>46106</v>
      </c>
      <c r="E486" s="8">
        <v>46121</v>
      </c>
      <c r="G486" t="s">
        <v>596</v>
      </c>
      <c r="H486" s="6">
        <v>9878</v>
      </c>
      <c r="I486" s="6">
        <v>8382</v>
      </c>
      <c r="J486" s="6">
        <v>0</v>
      </c>
      <c r="K486" t="s">
        <v>671</v>
      </c>
      <c r="L486">
        <v>49</v>
      </c>
      <c r="M486" t="s">
        <v>675</v>
      </c>
    </row>
    <row r="487" spans="1:13" x14ac:dyDescent="0.35">
      <c r="A487" t="s">
        <v>1572</v>
      </c>
      <c r="B487" t="s">
        <v>1573</v>
      </c>
      <c r="C487" t="s">
        <v>443</v>
      </c>
      <c r="D487" s="8">
        <v>46064</v>
      </c>
      <c r="E487" s="8">
        <v>46070</v>
      </c>
      <c r="F487" s="8">
        <v>46081</v>
      </c>
      <c r="G487" t="s">
        <v>593</v>
      </c>
      <c r="H487" s="6">
        <v>17871</v>
      </c>
      <c r="I487" s="6">
        <v>8203</v>
      </c>
      <c r="J487" s="6">
        <v>8184</v>
      </c>
      <c r="K487" t="s">
        <v>581</v>
      </c>
      <c r="L487">
        <v>11</v>
      </c>
    </row>
    <row r="488" spans="1:13" x14ac:dyDescent="0.35">
      <c r="A488" t="s">
        <v>1574</v>
      </c>
      <c r="B488" t="s">
        <v>1575</v>
      </c>
      <c r="C488" t="s">
        <v>135</v>
      </c>
      <c r="D488" s="8">
        <v>46035</v>
      </c>
      <c r="E488" s="8">
        <v>46048</v>
      </c>
      <c r="G488" t="s">
        <v>588</v>
      </c>
      <c r="H488" s="6">
        <v>10818</v>
      </c>
      <c r="I488" s="6">
        <v>6316</v>
      </c>
      <c r="J488" s="6">
        <v>0</v>
      </c>
      <c r="K488" t="s">
        <v>585</v>
      </c>
      <c r="L488">
        <v>122</v>
      </c>
    </row>
    <row r="489" spans="1:13" x14ac:dyDescent="0.35">
      <c r="A489" t="s">
        <v>1576</v>
      </c>
      <c r="B489" t="s">
        <v>1577</v>
      </c>
      <c r="C489" t="s">
        <v>83</v>
      </c>
      <c r="D489" s="8">
        <v>46032</v>
      </c>
      <c r="E489" s="8">
        <v>46039</v>
      </c>
      <c r="F489" s="8">
        <v>46063</v>
      </c>
      <c r="G489" t="s">
        <v>593</v>
      </c>
      <c r="H489" s="6">
        <v>10177</v>
      </c>
      <c r="I489" s="6">
        <v>5983</v>
      </c>
      <c r="J489" s="6">
        <v>5948</v>
      </c>
      <c r="K489" t="s">
        <v>581</v>
      </c>
      <c r="L489">
        <v>24</v>
      </c>
    </row>
    <row r="490" spans="1:13" x14ac:dyDescent="0.35">
      <c r="A490" t="s">
        <v>1578</v>
      </c>
      <c r="B490" t="s">
        <v>1579</v>
      </c>
      <c r="C490" t="s">
        <v>80</v>
      </c>
      <c r="D490" s="8">
        <v>46016</v>
      </c>
      <c r="E490" s="8">
        <v>46019</v>
      </c>
      <c r="F490" s="8">
        <v>46033</v>
      </c>
      <c r="G490" t="s">
        <v>584</v>
      </c>
      <c r="H490" s="6">
        <v>392</v>
      </c>
      <c r="I490" s="6">
        <v>281</v>
      </c>
      <c r="J490" s="6">
        <v>277</v>
      </c>
      <c r="K490" t="s">
        <v>581</v>
      </c>
      <c r="L490">
        <v>14</v>
      </c>
    </row>
    <row r="491" spans="1:13" x14ac:dyDescent="0.35">
      <c r="A491" t="s">
        <v>1580</v>
      </c>
      <c r="B491" t="s">
        <v>1581</v>
      </c>
      <c r="C491" t="s">
        <v>369</v>
      </c>
      <c r="D491" s="8">
        <v>46058</v>
      </c>
      <c r="E491" s="8">
        <v>46064</v>
      </c>
      <c r="F491" s="8">
        <v>46073</v>
      </c>
      <c r="G491" t="s">
        <v>596</v>
      </c>
      <c r="H491" s="6">
        <v>10638</v>
      </c>
      <c r="I491" s="6">
        <v>6948</v>
      </c>
      <c r="J491" s="6">
        <v>6650</v>
      </c>
      <c r="K491" t="s">
        <v>581</v>
      </c>
      <c r="L491">
        <v>9</v>
      </c>
    </row>
    <row r="492" spans="1:13" x14ac:dyDescent="0.35">
      <c r="A492" t="s">
        <v>1582</v>
      </c>
      <c r="B492" t="s">
        <v>1583</v>
      </c>
      <c r="C492" t="s">
        <v>257</v>
      </c>
      <c r="D492" s="8">
        <v>46093</v>
      </c>
      <c r="E492" s="8">
        <v>46107</v>
      </c>
      <c r="F492" s="8">
        <v>46129</v>
      </c>
      <c r="G492" t="s">
        <v>580</v>
      </c>
      <c r="H492" s="6">
        <v>5681</v>
      </c>
      <c r="I492" s="6">
        <v>3273</v>
      </c>
      <c r="J492" s="6">
        <v>3233</v>
      </c>
      <c r="K492" t="s">
        <v>581</v>
      </c>
      <c r="L492">
        <v>22</v>
      </c>
    </row>
    <row r="493" spans="1:13" x14ac:dyDescent="0.35">
      <c r="A493" t="s">
        <v>1584</v>
      </c>
      <c r="B493" t="s">
        <v>1585</v>
      </c>
      <c r="C493" t="s">
        <v>152</v>
      </c>
      <c r="D493" s="8">
        <v>46019</v>
      </c>
      <c r="E493" s="8">
        <v>46025</v>
      </c>
      <c r="F493" s="8">
        <v>46041</v>
      </c>
      <c r="G493" t="s">
        <v>596</v>
      </c>
      <c r="H493" s="6">
        <v>7229</v>
      </c>
      <c r="I493" s="6">
        <v>3949</v>
      </c>
      <c r="J493" s="6">
        <v>3837</v>
      </c>
      <c r="K493" t="s">
        <v>581</v>
      </c>
      <c r="L493">
        <v>16</v>
      </c>
    </row>
    <row r="494" spans="1:13" x14ac:dyDescent="0.35">
      <c r="A494" t="s">
        <v>1586</v>
      </c>
      <c r="B494" t="s">
        <v>1587</v>
      </c>
      <c r="C494" t="s">
        <v>473</v>
      </c>
      <c r="D494" s="8">
        <v>46144</v>
      </c>
      <c r="E494" s="8">
        <v>46158</v>
      </c>
      <c r="F494" s="8">
        <v>46181</v>
      </c>
      <c r="G494" t="s">
        <v>596</v>
      </c>
      <c r="H494" s="6">
        <v>7489</v>
      </c>
      <c r="I494" s="6">
        <v>4686</v>
      </c>
      <c r="J494" s="6">
        <v>4565</v>
      </c>
      <c r="K494" t="s">
        <v>581</v>
      </c>
      <c r="L494">
        <v>23</v>
      </c>
    </row>
    <row r="495" spans="1:13" x14ac:dyDescent="0.35">
      <c r="A495" t="s">
        <v>1588</v>
      </c>
      <c r="B495" t="s">
        <v>1589</v>
      </c>
      <c r="C495" t="s">
        <v>328</v>
      </c>
      <c r="D495" s="8">
        <v>46076</v>
      </c>
      <c r="E495" s="8">
        <v>46080</v>
      </c>
      <c r="G495" t="s">
        <v>588</v>
      </c>
      <c r="H495" s="6">
        <v>16283</v>
      </c>
      <c r="I495" s="6">
        <v>11334</v>
      </c>
      <c r="J495" s="6">
        <v>0</v>
      </c>
      <c r="K495" t="s">
        <v>585</v>
      </c>
      <c r="L495">
        <v>90</v>
      </c>
    </row>
    <row r="496" spans="1:13" x14ac:dyDescent="0.35">
      <c r="A496" t="s">
        <v>1590</v>
      </c>
      <c r="B496" t="s">
        <v>1591</v>
      </c>
      <c r="C496" t="s">
        <v>158</v>
      </c>
      <c r="D496" s="8">
        <v>46146</v>
      </c>
      <c r="E496" s="8">
        <v>46150</v>
      </c>
      <c r="F496" s="8">
        <v>46163</v>
      </c>
      <c r="G496" t="s">
        <v>596</v>
      </c>
      <c r="H496" s="6">
        <v>10531</v>
      </c>
      <c r="I496" s="6">
        <v>8478</v>
      </c>
      <c r="J496" s="6">
        <v>8463</v>
      </c>
      <c r="K496" t="s">
        <v>581</v>
      </c>
      <c r="L496">
        <v>13</v>
      </c>
    </row>
    <row r="497" spans="1:13" x14ac:dyDescent="0.35">
      <c r="A497" t="s">
        <v>1592</v>
      </c>
      <c r="B497" t="s">
        <v>1593</v>
      </c>
      <c r="C497" t="s">
        <v>243</v>
      </c>
      <c r="D497" s="8">
        <v>46134</v>
      </c>
      <c r="E497" s="8">
        <v>46138</v>
      </c>
      <c r="F497" s="8">
        <v>46156</v>
      </c>
      <c r="G497" t="s">
        <v>584</v>
      </c>
      <c r="H497" s="6">
        <v>6734</v>
      </c>
      <c r="I497" s="6">
        <v>4205</v>
      </c>
      <c r="J497" s="6">
        <v>4160</v>
      </c>
      <c r="K497" t="s">
        <v>581</v>
      </c>
      <c r="L497">
        <v>18</v>
      </c>
    </row>
    <row r="498" spans="1:13" x14ac:dyDescent="0.35">
      <c r="A498" t="s">
        <v>1594</v>
      </c>
      <c r="B498" t="s">
        <v>1595</v>
      </c>
      <c r="C498" t="s">
        <v>132</v>
      </c>
      <c r="D498" s="8">
        <v>46095</v>
      </c>
      <c r="E498" s="8">
        <v>46099</v>
      </c>
      <c r="F498" s="8">
        <v>46121</v>
      </c>
      <c r="G498" t="s">
        <v>584</v>
      </c>
      <c r="H498" s="6">
        <v>3735</v>
      </c>
      <c r="I498" s="6">
        <v>1983</v>
      </c>
      <c r="J498" s="6">
        <v>1933</v>
      </c>
      <c r="K498" t="s">
        <v>581</v>
      </c>
      <c r="L498">
        <v>22</v>
      </c>
    </row>
    <row r="499" spans="1:13" x14ac:dyDescent="0.35">
      <c r="A499" t="s">
        <v>1596</v>
      </c>
      <c r="B499" t="s">
        <v>1597</v>
      </c>
      <c r="C499" t="s">
        <v>345</v>
      </c>
      <c r="D499" s="8">
        <v>46043</v>
      </c>
      <c r="E499" s="8">
        <v>46048</v>
      </c>
      <c r="F499" s="8">
        <v>46070</v>
      </c>
      <c r="G499" t="s">
        <v>593</v>
      </c>
      <c r="H499" s="6">
        <v>7917</v>
      </c>
      <c r="I499" s="6">
        <v>5970</v>
      </c>
      <c r="J499" s="6">
        <v>5777</v>
      </c>
      <c r="K499" t="s">
        <v>581</v>
      </c>
      <c r="L499">
        <v>22</v>
      </c>
    </row>
    <row r="500" spans="1:13" x14ac:dyDescent="0.35">
      <c r="A500" t="s">
        <v>1598</v>
      </c>
      <c r="B500" t="s">
        <v>1599</v>
      </c>
      <c r="C500" t="s">
        <v>287</v>
      </c>
      <c r="D500" s="8">
        <v>46151</v>
      </c>
      <c r="E500" s="8">
        <v>46164</v>
      </c>
      <c r="F500" s="8">
        <v>46181</v>
      </c>
      <c r="G500" t="s">
        <v>593</v>
      </c>
      <c r="H500" s="6">
        <v>8531</v>
      </c>
      <c r="I500" s="6">
        <v>5323</v>
      </c>
      <c r="J500" s="6">
        <v>5126</v>
      </c>
      <c r="K500" t="s">
        <v>581</v>
      </c>
      <c r="L500">
        <v>17</v>
      </c>
    </row>
    <row r="501" spans="1:13" x14ac:dyDescent="0.35">
      <c r="A501" t="s">
        <v>1600</v>
      </c>
      <c r="B501" t="s">
        <v>1601</v>
      </c>
      <c r="C501" t="s">
        <v>65</v>
      </c>
      <c r="D501" s="8">
        <v>46083</v>
      </c>
      <c r="E501" s="8">
        <v>46091</v>
      </c>
      <c r="F501" s="8">
        <v>46097</v>
      </c>
      <c r="G501" t="s">
        <v>584</v>
      </c>
      <c r="H501" s="6">
        <v>11429</v>
      </c>
      <c r="I501" s="6">
        <v>6225</v>
      </c>
      <c r="J501" s="6">
        <v>5957</v>
      </c>
      <c r="K501" t="s">
        <v>581</v>
      </c>
      <c r="L501">
        <v>6</v>
      </c>
    </row>
    <row r="502" spans="1:13" x14ac:dyDescent="0.35">
      <c r="A502" t="s">
        <v>1602</v>
      </c>
      <c r="B502" t="s">
        <v>1603</v>
      </c>
      <c r="C502" t="s">
        <v>410</v>
      </c>
      <c r="D502" s="8">
        <v>46040</v>
      </c>
      <c r="E502" s="8">
        <v>46057</v>
      </c>
      <c r="F502" s="8">
        <v>46072</v>
      </c>
      <c r="G502" t="s">
        <v>596</v>
      </c>
      <c r="H502" s="6">
        <v>14910</v>
      </c>
      <c r="I502" s="6">
        <v>7578</v>
      </c>
      <c r="J502" s="6">
        <v>0</v>
      </c>
      <c r="K502" t="s">
        <v>653</v>
      </c>
      <c r="L502">
        <v>15</v>
      </c>
      <c r="M502" t="s">
        <v>741</v>
      </c>
    </row>
    <row r="503" spans="1:13" x14ac:dyDescent="0.35">
      <c r="A503" t="s">
        <v>1604</v>
      </c>
      <c r="B503" t="s">
        <v>1605</v>
      </c>
      <c r="C503" t="s">
        <v>281</v>
      </c>
      <c r="D503" s="8">
        <v>46146</v>
      </c>
      <c r="E503" s="8">
        <v>46149</v>
      </c>
      <c r="F503" s="8">
        <v>46159</v>
      </c>
      <c r="G503" t="s">
        <v>584</v>
      </c>
      <c r="H503" s="6">
        <v>3776</v>
      </c>
      <c r="I503" s="6">
        <v>2000</v>
      </c>
      <c r="J503" s="6">
        <v>1967</v>
      </c>
      <c r="K503" t="s">
        <v>581</v>
      </c>
      <c r="L503">
        <v>10</v>
      </c>
    </row>
    <row r="504" spans="1:13" x14ac:dyDescent="0.35">
      <c r="A504" t="s">
        <v>1606</v>
      </c>
      <c r="B504" t="s">
        <v>1607</v>
      </c>
      <c r="C504" t="s">
        <v>357</v>
      </c>
      <c r="D504" s="8">
        <v>46155</v>
      </c>
      <c r="E504" s="8">
        <v>46162</v>
      </c>
      <c r="F504" s="8">
        <v>46177</v>
      </c>
      <c r="G504" t="s">
        <v>588</v>
      </c>
      <c r="H504" s="6">
        <v>11060</v>
      </c>
      <c r="I504" s="6">
        <v>6742</v>
      </c>
      <c r="J504" s="6">
        <v>0</v>
      </c>
      <c r="K504" t="s">
        <v>653</v>
      </c>
      <c r="L504">
        <v>15</v>
      </c>
      <c r="M504" t="s">
        <v>772</v>
      </c>
    </row>
    <row r="505" spans="1:13" x14ac:dyDescent="0.35">
      <c r="A505" t="s">
        <v>1608</v>
      </c>
      <c r="B505" t="s">
        <v>1609</v>
      </c>
      <c r="C505" t="s">
        <v>171</v>
      </c>
      <c r="D505" s="8">
        <v>46051</v>
      </c>
      <c r="E505" s="8">
        <v>46064</v>
      </c>
      <c r="F505" s="8">
        <v>46083</v>
      </c>
      <c r="G505" t="s">
        <v>596</v>
      </c>
      <c r="H505" s="6">
        <v>17065</v>
      </c>
      <c r="I505" s="6">
        <v>9735</v>
      </c>
      <c r="J505" s="6">
        <v>9312</v>
      </c>
      <c r="K505" t="s">
        <v>581</v>
      </c>
      <c r="L505">
        <v>19</v>
      </c>
    </row>
    <row r="506" spans="1:13" x14ac:dyDescent="0.35">
      <c r="A506" t="s">
        <v>1610</v>
      </c>
      <c r="B506" t="s">
        <v>1611</v>
      </c>
      <c r="C506" t="s">
        <v>509</v>
      </c>
      <c r="D506" s="8">
        <v>46082</v>
      </c>
      <c r="E506" s="8">
        <v>46091</v>
      </c>
      <c r="F506" s="8">
        <v>46117</v>
      </c>
      <c r="G506" t="s">
        <v>584</v>
      </c>
      <c r="H506" s="6">
        <v>14109</v>
      </c>
      <c r="I506" s="6">
        <v>11209</v>
      </c>
      <c r="J506" s="6">
        <v>0</v>
      </c>
      <c r="K506" t="s">
        <v>653</v>
      </c>
      <c r="L506">
        <v>26</v>
      </c>
      <c r="M506" t="s">
        <v>1025</v>
      </c>
    </row>
    <row r="507" spans="1:13" x14ac:dyDescent="0.35">
      <c r="A507" t="s">
        <v>1612</v>
      </c>
      <c r="B507" t="s">
        <v>1613</v>
      </c>
      <c r="C507" t="s">
        <v>468</v>
      </c>
      <c r="D507" s="8">
        <v>46094</v>
      </c>
      <c r="E507" s="8">
        <v>46105</v>
      </c>
      <c r="F507" s="8">
        <v>46112</v>
      </c>
      <c r="G507" t="s">
        <v>588</v>
      </c>
      <c r="H507" s="6">
        <v>8418</v>
      </c>
      <c r="I507" s="6">
        <v>6441</v>
      </c>
      <c r="J507" s="6">
        <v>6292</v>
      </c>
      <c r="K507" t="s">
        <v>581</v>
      </c>
      <c r="L507">
        <v>7</v>
      </c>
    </row>
    <row r="508" spans="1:13" x14ac:dyDescent="0.35">
      <c r="A508" t="s">
        <v>1614</v>
      </c>
      <c r="B508" t="s">
        <v>1615</v>
      </c>
      <c r="C508" t="s">
        <v>551</v>
      </c>
      <c r="D508" s="8">
        <v>46043</v>
      </c>
      <c r="E508" s="8">
        <v>46048</v>
      </c>
      <c r="F508" s="8">
        <v>46065</v>
      </c>
      <c r="G508" t="s">
        <v>588</v>
      </c>
      <c r="H508" s="6">
        <v>16583</v>
      </c>
      <c r="I508" s="6">
        <v>11725</v>
      </c>
      <c r="J508" s="6">
        <v>11442</v>
      </c>
      <c r="K508" t="s">
        <v>581</v>
      </c>
      <c r="L508">
        <v>17</v>
      </c>
    </row>
    <row r="509" spans="1:13" x14ac:dyDescent="0.35">
      <c r="A509" t="s">
        <v>1616</v>
      </c>
      <c r="B509" t="s">
        <v>1617</v>
      </c>
      <c r="C509" t="s">
        <v>287</v>
      </c>
      <c r="D509" s="8">
        <v>46063</v>
      </c>
      <c r="E509" s="8">
        <v>46076</v>
      </c>
      <c r="F509" s="8">
        <v>46091</v>
      </c>
      <c r="G509" t="s">
        <v>596</v>
      </c>
      <c r="H509" s="6">
        <v>8578</v>
      </c>
      <c r="I509" s="6">
        <v>7000</v>
      </c>
      <c r="J509" s="6">
        <v>6869</v>
      </c>
      <c r="K509" t="s">
        <v>581</v>
      </c>
      <c r="L509">
        <v>15</v>
      </c>
    </row>
    <row r="510" spans="1:13" x14ac:dyDescent="0.35">
      <c r="A510" t="s">
        <v>1618</v>
      </c>
      <c r="B510" t="s">
        <v>1619</v>
      </c>
      <c r="C510" t="s">
        <v>480</v>
      </c>
      <c r="D510" s="8">
        <v>46153</v>
      </c>
      <c r="E510" s="8">
        <v>46166</v>
      </c>
      <c r="G510" t="s">
        <v>580</v>
      </c>
      <c r="H510" s="6">
        <v>13957</v>
      </c>
      <c r="I510" s="6">
        <v>6668</v>
      </c>
      <c r="J510" s="6">
        <v>0</v>
      </c>
      <c r="K510" t="s">
        <v>585</v>
      </c>
      <c r="L510">
        <v>4</v>
      </c>
    </row>
    <row r="511" spans="1:13" x14ac:dyDescent="0.35">
      <c r="A511" t="s">
        <v>1620</v>
      </c>
      <c r="B511" t="s">
        <v>1621</v>
      </c>
      <c r="C511" t="s">
        <v>429</v>
      </c>
      <c r="D511" s="8">
        <v>46035</v>
      </c>
      <c r="E511" s="8">
        <v>46051</v>
      </c>
      <c r="F511" s="8">
        <v>46056</v>
      </c>
      <c r="G511" t="s">
        <v>596</v>
      </c>
      <c r="H511" s="6">
        <v>14109</v>
      </c>
      <c r="I511" s="6">
        <v>7386</v>
      </c>
      <c r="J511" s="6">
        <v>7194</v>
      </c>
      <c r="K511" t="s">
        <v>581</v>
      </c>
      <c r="L511">
        <v>5</v>
      </c>
    </row>
    <row r="512" spans="1:13" x14ac:dyDescent="0.35">
      <c r="A512" t="s">
        <v>1622</v>
      </c>
      <c r="B512" t="s">
        <v>1623</v>
      </c>
      <c r="C512" t="s">
        <v>212</v>
      </c>
      <c r="D512" s="8">
        <v>46049</v>
      </c>
      <c r="E512" s="8">
        <v>46059</v>
      </c>
      <c r="G512" t="s">
        <v>596</v>
      </c>
      <c r="H512" s="6">
        <v>3697</v>
      </c>
      <c r="I512" s="6">
        <v>1860</v>
      </c>
      <c r="J512" s="6">
        <v>0</v>
      </c>
      <c r="K512" t="s">
        <v>671</v>
      </c>
      <c r="L512">
        <v>111</v>
      </c>
      <c r="M512" t="s">
        <v>675</v>
      </c>
    </row>
    <row r="513" spans="1:13" x14ac:dyDescent="0.35">
      <c r="A513" t="s">
        <v>1624</v>
      </c>
      <c r="B513" t="s">
        <v>1625</v>
      </c>
      <c r="C513" t="s">
        <v>293</v>
      </c>
      <c r="D513" s="8">
        <v>46077</v>
      </c>
      <c r="E513" s="8">
        <v>46083</v>
      </c>
      <c r="G513" t="s">
        <v>580</v>
      </c>
      <c r="H513" s="6">
        <v>17963</v>
      </c>
      <c r="I513" s="6">
        <v>14933</v>
      </c>
      <c r="J513" s="6">
        <v>0</v>
      </c>
      <c r="K513" t="s">
        <v>585</v>
      </c>
      <c r="L513">
        <v>87</v>
      </c>
    </row>
    <row r="514" spans="1:13" x14ac:dyDescent="0.35">
      <c r="A514" t="s">
        <v>1626</v>
      </c>
      <c r="B514" t="s">
        <v>1627</v>
      </c>
      <c r="C514" t="s">
        <v>296</v>
      </c>
      <c r="D514" s="8">
        <v>46093</v>
      </c>
      <c r="E514" s="8">
        <v>46097</v>
      </c>
      <c r="F514" s="8">
        <v>46118</v>
      </c>
      <c r="G514" t="s">
        <v>593</v>
      </c>
      <c r="H514" s="6">
        <v>781</v>
      </c>
      <c r="I514" s="6">
        <v>437</v>
      </c>
      <c r="J514" s="6">
        <v>423</v>
      </c>
      <c r="K514" t="s">
        <v>581</v>
      </c>
      <c r="L514">
        <v>21</v>
      </c>
    </row>
    <row r="515" spans="1:13" x14ac:dyDescent="0.35">
      <c r="A515" t="s">
        <v>1628</v>
      </c>
      <c r="B515" t="s">
        <v>1629</v>
      </c>
      <c r="C515" t="s">
        <v>215</v>
      </c>
      <c r="D515" s="8">
        <v>46054</v>
      </c>
      <c r="E515" s="8">
        <v>46058</v>
      </c>
      <c r="G515" t="s">
        <v>584</v>
      </c>
      <c r="H515" s="6">
        <v>8311</v>
      </c>
      <c r="I515" s="6">
        <v>5214</v>
      </c>
      <c r="J515" s="6">
        <v>0</v>
      </c>
      <c r="K515" t="s">
        <v>671</v>
      </c>
      <c r="L515">
        <v>112</v>
      </c>
      <c r="M515" t="s">
        <v>855</v>
      </c>
    </row>
    <row r="516" spans="1:13" x14ac:dyDescent="0.35">
      <c r="A516" t="s">
        <v>1630</v>
      </c>
      <c r="B516" t="s">
        <v>1631</v>
      </c>
      <c r="C516" t="s">
        <v>257</v>
      </c>
      <c r="D516" s="8">
        <v>46048</v>
      </c>
      <c r="E516" s="8">
        <v>46063</v>
      </c>
      <c r="F516" s="8">
        <v>46072</v>
      </c>
      <c r="G516" t="s">
        <v>593</v>
      </c>
      <c r="H516" s="6">
        <v>2985</v>
      </c>
      <c r="I516" s="6">
        <v>2322</v>
      </c>
      <c r="J516" s="6">
        <v>2232</v>
      </c>
      <c r="K516" t="s">
        <v>581</v>
      </c>
      <c r="L516">
        <v>9</v>
      </c>
    </row>
    <row r="517" spans="1:13" x14ac:dyDescent="0.35">
      <c r="A517" t="s">
        <v>1632</v>
      </c>
      <c r="B517" t="s">
        <v>1633</v>
      </c>
      <c r="C517" t="s">
        <v>516</v>
      </c>
      <c r="D517" s="8">
        <v>46096</v>
      </c>
      <c r="E517" s="8">
        <v>46103</v>
      </c>
      <c r="F517" s="8">
        <v>46130</v>
      </c>
      <c r="G517" t="s">
        <v>596</v>
      </c>
      <c r="H517" s="6">
        <v>15198</v>
      </c>
      <c r="I517" s="6">
        <v>9813</v>
      </c>
      <c r="J517" s="6">
        <v>4108</v>
      </c>
      <c r="K517" t="s">
        <v>607</v>
      </c>
      <c r="L517">
        <v>67</v>
      </c>
      <c r="M517" t="s">
        <v>608</v>
      </c>
    </row>
    <row r="518" spans="1:13" x14ac:dyDescent="0.35">
      <c r="A518" t="s">
        <v>1634</v>
      </c>
      <c r="B518" t="s">
        <v>1635</v>
      </c>
      <c r="C518" t="s">
        <v>198</v>
      </c>
      <c r="D518" s="8">
        <v>46145</v>
      </c>
      <c r="E518" s="8">
        <v>46162</v>
      </c>
      <c r="F518" s="8">
        <v>46169</v>
      </c>
      <c r="G518" t="s">
        <v>596</v>
      </c>
      <c r="H518" s="6">
        <v>15891</v>
      </c>
      <c r="I518" s="6">
        <v>11944</v>
      </c>
      <c r="J518" s="6">
        <v>11608</v>
      </c>
      <c r="K518" t="s">
        <v>581</v>
      </c>
      <c r="L518">
        <v>7</v>
      </c>
    </row>
    <row r="519" spans="1:13" x14ac:dyDescent="0.35">
      <c r="A519" t="s">
        <v>1636</v>
      </c>
      <c r="B519" t="s">
        <v>1637</v>
      </c>
      <c r="C519" t="s">
        <v>65</v>
      </c>
      <c r="D519" s="8">
        <v>46154</v>
      </c>
      <c r="E519" s="8">
        <v>46172</v>
      </c>
      <c r="F519" s="8">
        <v>46196</v>
      </c>
      <c r="G519" t="s">
        <v>588</v>
      </c>
      <c r="H519" s="6">
        <v>4332</v>
      </c>
      <c r="I519" s="6">
        <v>3437</v>
      </c>
      <c r="J519" s="6">
        <v>3331</v>
      </c>
      <c r="K519" t="s">
        <v>581</v>
      </c>
      <c r="L519">
        <v>24</v>
      </c>
    </row>
    <row r="520" spans="1:13" x14ac:dyDescent="0.35">
      <c r="A520" t="s">
        <v>1638</v>
      </c>
      <c r="B520" t="s">
        <v>1639</v>
      </c>
      <c r="C520" t="s">
        <v>266</v>
      </c>
      <c r="D520" s="8">
        <v>46061</v>
      </c>
      <c r="E520" s="8">
        <v>46070</v>
      </c>
      <c r="G520" t="s">
        <v>596</v>
      </c>
      <c r="H520" s="6">
        <v>1065</v>
      </c>
      <c r="I520" s="6">
        <v>670</v>
      </c>
      <c r="J520" s="6">
        <v>0</v>
      </c>
      <c r="K520" t="s">
        <v>585</v>
      </c>
      <c r="L520">
        <v>100</v>
      </c>
    </row>
    <row r="521" spans="1:13" x14ac:dyDescent="0.35">
      <c r="A521" t="s">
        <v>1640</v>
      </c>
      <c r="B521" t="s">
        <v>1641</v>
      </c>
      <c r="C521" t="s">
        <v>80</v>
      </c>
      <c r="D521" s="8">
        <v>46023</v>
      </c>
      <c r="E521" s="8">
        <v>46039</v>
      </c>
      <c r="F521" s="8">
        <v>46063</v>
      </c>
      <c r="G521" t="s">
        <v>580</v>
      </c>
      <c r="H521" s="6">
        <v>17534</v>
      </c>
      <c r="I521" s="6">
        <v>14661</v>
      </c>
      <c r="J521" s="6">
        <v>14340</v>
      </c>
      <c r="K521" t="s">
        <v>581</v>
      </c>
      <c r="L521">
        <v>24</v>
      </c>
    </row>
  </sheetData>
  <conditionalFormatting sqref="A2:M521">
    <cfRule type="expression" dxfId="2" priority="1">
      <formula>$L2&gt;45</formula>
    </cfRule>
  </conditionalFormatting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43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2" width="16" customWidth="1"/>
    <col min="3" max="3" width="12" customWidth="1"/>
    <col min="4" max="5" width="14" customWidth="1"/>
    <col min="6" max="6" width="21" customWidth="1"/>
    <col min="7" max="7" width="12" customWidth="1"/>
    <col min="8" max="8" width="11" customWidth="1"/>
    <col min="9" max="9" width="30" customWidth="1"/>
    <col min="10" max="10" width="14" customWidth="1"/>
    <col min="11" max="11" width="15" customWidth="1"/>
  </cols>
  <sheetData>
    <row r="1" spans="1:11" x14ac:dyDescent="0.35">
      <c r="A1" s="5" t="s">
        <v>1642</v>
      </c>
      <c r="B1" s="5" t="s">
        <v>566</v>
      </c>
      <c r="C1" s="5" t="s">
        <v>25</v>
      </c>
      <c r="D1" s="5" t="s">
        <v>1643</v>
      </c>
      <c r="E1" s="5" t="s">
        <v>1644</v>
      </c>
      <c r="F1" s="5" t="s">
        <v>1645</v>
      </c>
      <c r="G1" s="5" t="s">
        <v>1646</v>
      </c>
      <c r="H1" s="5" t="s">
        <v>575</v>
      </c>
      <c r="I1" s="5" t="s">
        <v>1647</v>
      </c>
      <c r="J1" s="5" t="s">
        <v>1648</v>
      </c>
      <c r="K1" s="5" t="s">
        <v>1649</v>
      </c>
    </row>
    <row r="2" spans="1:11" x14ac:dyDescent="0.35">
      <c r="A2" t="s">
        <v>1650</v>
      </c>
      <c r="B2" t="s">
        <v>1180</v>
      </c>
      <c r="C2" t="s">
        <v>126</v>
      </c>
      <c r="D2" s="8">
        <v>46116</v>
      </c>
      <c r="E2" t="s">
        <v>1651</v>
      </c>
      <c r="F2" t="s">
        <v>1652</v>
      </c>
      <c r="G2" s="6">
        <v>1137</v>
      </c>
      <c r="H2" t="s">
        <v>1653</v>
      </c>
      <c r="J2" s="8">
        <v>46134</v>
      </c>
      <c r="K2">
        <v>0</v>
      </c>
    </row>
    <row r="3" spans="1:11" x14ac:dyDescent="0.35">
      <c r="A3" t="s">
        <v>1654</v>
      </c>
      <c r="B3" t="s">
        <v>1098</v>
      </c>
      <c r="C3" t="s">
        <v>163</v>
      </c>
      <c r="D3" s="8">
        <v>46110</v>
      </c>
      <c r="E3" t="s">
        <v>1651</v>
      </c>
      <c r="F3" t="s">
        <v>1655</v>
      </c>
      <c r="G3" s="6">
        <v>1256</v>
      </c>
      <c r="H3" t="s">
        <v>1656</v>
      </c>
      <c r="J3" s="8">
        <v>46126</v>
      </c>
      <c r="K3">
        <v>0</v>
      </c>
    </row>
    <row r="4" spans="1:11" x14ac:dyDescent="0.35">
      <c r="A4" t="s">
        <v>1657</v>
      </c>
      <c r="B4" t="s">
        <v>1294</v>
      </c>
      <c r="C4" t="s">
        <v>281</v>
      </c>
      <c r="D4" s="8">
        <v>46127</v>
      </c>
      <c r="E4" t="s">
        <v>1651</v>
      </c>
      <c r="F4" t="s">
        <v>1658</v>
      </c>
      <c r="G4" s="6">
        <v>12117</v>
      </c>
      <c r="H4" t="s">
        <v>1656</v>
      </c>
      <c r="J4" s="8">
        <v>46153</v>
      </c>
      <c r="K4">
        <v>0</v>
      </c>
    </row>
    <row r="5" spans="1:11" x14ac:dyDescent="0.35">
      <c r="A5" t="s">
        <v>1659</v>
      </c>
      <c r="B5" t="s">
        <v>703</v>
      </c>
      <c r="C5" t="s">
        <v>383</v>
      </c>
      <c r="D5" s="8">
        <v>46069</v>
      </c>
      <c r="E5" t="s">
        <v>1660</v>
      </c>
      <c r="F5" t="s">
        <v>1661</v>
      </c>
      <c r="G5" s="6">
        <v>6398</v>
      </c>
      <c r="H5" t="s">
        <v>1656</v>
      </c>
      <c r="J5" s="8">
        <v>46079</v>
      </c>
      <c r="K5">
        <v>0</v>
      </c>
    </row>
    <row r="6" spans="1:11" x14ac:dyDescent="0.35">
      <c r="A6" t="s">
        <v>1662</v>
      </c>
      <c r="B6" t="s">
        <v>1126</v>
      </c>
      <c r="C6" t="s">
        <v>257</v>
      </c>
      <c r="D6" s="8">
        <v>46178</v>
      </c>
      <c r="E6" t="s">
        <v>1663</v>
      </c>
      <c r="F6" t="s">
        <v>1664</v>
      </c>
      <c r="G6" s="6">
        <v>9533</v>
      </c>
      <c r="H6" t="s">
        <v>1653</v>
      </c>
      <c r="J6" s="8">
        <v>46195</v>
      </c>
      <c r="K6">
        <v>0</v>
      </c>
    </row>
    <row r="7" spans="1:11" x14ac:dyDescent="0.35">
      <c r="A7" t="s">
        <v>1665</v>
      </c>
      <c r="B7" t="s">
        <v>680</v>
      </c>
      <c r="C7" t="s">
        <v>252</v>
      </c>
      <c r="E7" t="s">
        <v>1660</v>
      </c>
      <c r="F7" t="s">
        <v>1666</v>
      </c>
      <c r="G7" s="6">
        <v>16918</v>
      </c>
      <c r="H7" t="s">
        <v>1667</v>
      </c>
      <c r="I7" t="s">
        <v>1668</v>
      </c>
      <c r="J7" s="8">
        <v>46137</v>
      </c>
      <c r="K7">
        <v>33</v>
      </c>
    </row>
    <row r="8" spans="1:11" x14ac:dyDescent="0.35">
      <c r="A8" t="s">
        <v>1669</v>
      </c>
      <c r="B8" t="s">
        <v>1488</v>
      </c>
      <c r="C8" t="s">
        <v>522</v>
      </c>
      <c r="D8" s="8">
        <v>46071</v>
      </c>
      <c r="E8" t="s">
        <v>1651</v>
      </c>
      <c r="F8" t="s">
        <v>1670</v>
      </c>
      <c r="G8" s="6">
        <v>7996</v>
      </c>
      <c r="H8" t="s">
        <v>1656</v>
      </c>
      <c r="J8" s="8">
        <v>46079</v>
      </c>
      <c r="K8">
        <v>0</v>
      </c>
    </row>
    <row r="9" spans="1:11" x14ac:dyDescent="0.35">
      <c r="A9" t="s">
        <v>1671</v>
      </c>
      <c r="B9" t="s">
        <v>1226</v>
      </c>
      <c r="C9" t="s">
        <v>545</v>
      </c>
      <c r="E9" t="s">
        <v>1663</v>
      </c>
      <c r="F9" t="s">
        <v>1672</v>
      </c>
      <c r="G9" s="6">
        <v>19887</v>
      </c>
      <c r="H9" t="s">
        <v>1667</v>
      </c>
      <c r="I9" t="s">
        <v>1673</v>
      </c>
      <c r="J9" s="8">
        <v>46149</v>
      </c>
      <c r="K9">
        <v>21</v>
      </c>
    </row>
    <row r="10" spans="1:11" x14ac:dyDescent="0.35">
      <c r="A10" t="s">
        <v>1674</v>
      </c>
      <c r="B10" t="s">
        <v>905</v>
      </c>
      <c r="C10" t="s">
        <v>316</v>
      </c>
      <c r="D10" s="8">
        <v>46150</v>
      </c>
      <c r="E10" t="s">
        <v>1651</v>
      </c>
      <c r="F10" t="s">
        <v>1675</v>
      </c>
      <c r="G10" s="6">
        <v>15514</v>
      </c>
      <c r="H10" t="s">
        <v>1656</v>
      </c>
      <c r="J10" s="8">
        <v>46154</v>
      </c>
      <c r="K10">
        <v>0</v>
      </c>
    </row>
    <row r="11" spans="1:11" x14ac:dyDescent="0.35">
      <c r="A11" t="s">
        <v>1676</v>
      </c>
      <c r="B11" t="s">
        <v>1246</v>
      </c>
      <c r="C11" t="s">
        <v>207</v>
      </c>
      <c r="D11" s="8">
        <v>46148</v>
      </c>
      <c r="E11" t="s">
        <v>1651</v>
      </c>
      <c r="F11" t="s">
        <v>1677</v>
      </c>
      <c r="G11" s="6">
        <v>15982</v>
      </c>
      <c r="H11" t="s">
        <v>1653</v>
      </c>
      <c r="J11" s="8">
        <v>46168</v>
      </c>
      <c r="K11">
        <v>0</v>
      </c>
    </row>
    <row r="12" spans="1:11" x14ac:dyDescent="0.35">
      <c r="A12" t="s">
        <v>1678</v>
      </c>
      <c r="B12" t="s">
        <v>1102</v>
      </c>
      <c r="C12" t="s">
        <v>511</v>
      </c>
      <c r="D12" s="8">
        <v>46084</v>
      </c>
      <c r="E12" t="s">
        <v>1651</v>
      </c>
      <c r="F12" t="s">
        <v>1679</v>
      </c>
      <c r="G12" s="6">
        <v>13063</v>
      </c>
      <c r="H12" t="s">
        <v>1656</v>
      </c>
      <c r="J12" s="8">
        <v>46086</v>
      </c>
      <c r="K12">
        <v>0</v>
      </c>
    </row>
    <row r="13" spans="1:11" x14ac:dyDescent="0.35">
      <c r="A13" t="s">
        <v>1680</v>
      </c>
      <c r="B13" t="s">
        <v>1528</v>
      </c>
      <c r="C13" t="s">
        <v>488</v>
      </c>
      <c r="D13" s="8">
        <v>46117</v>
      </c>
      <c r="E13" t="s">
        <v>1663</v>
      </c>
      <c r="F13" t="s">
        <v>1681</v>
      </c>
      <c r="G13" s="6">
        <v>5987</v>
      </c>
      <c r="H13" t="s">
        <v>1656</v>
      </c>
      <c r="J13" s="8">
        <v>46139</v>
      </c>
      <c r="K13">
        <v>0</v>
      </c>
    </row>
    <row r="14" spans="1:11" x14ac:dyDescent="0.35">
      <c r="A14" t="s">
        <v>1682</v>
      </c>
      <c r="B14" t="s">
        <v>1618</v>
      </c>
      <c r="C14" t="s">
        <v>233</v>
      </c>
      <c r="D14" s="8">
        <v>46063</v>
      </c>
      <c r="E14" t="s">
        <v>1660</v>
      </c>
      <c r="F14" t="s">
        <v>1683</v>
      </c>
      <c r="G14" s="6">
        <v>4244</v>
      </c>
      <c r="H14" t="s">
        <v>1656</v>
      </c>
      <c r="J14" s="8">
        <v>46072</v>
      </c>
      <c r="K14">
        <v>0</v>
      </c>
    </row>
    <row r="15" spans="1:11" x14ac:dyDescent="0.35">
      <c r="A15" t="s">
        <v>1684</v>
      </c>
      <c r="B15" t="s">
        <v>1540</v>
      </c>
      <c r="C15" t="s">
        <v>190</v>
      </c>
      <c r="D15" s="8">
        <v>46065</v>
      </c>
      <c r="E15" t="s">
        <v>1651</v>
      </c>
      <c r="F15" t="s">
        <v>1685</v>
      </c>
      <c r="G15" s="6">
        <v>13483</v>
      </c>
      <c r="H15" t="s">
        <v>1656</v>
      </c>
      <c r="J15" s="8">
        <v>46059</v>
      </c>
      <c r="K15">
        <v>0</v>
      </c>
    </row>
    <row r="16" spans="1:11" x14ac:dyDescent="0.35">
      <c r="A16" t="s">
        <v>1686</v>
      </c>
      <c r="B16" t="s">
        <v>1224</v>
      </c>
      <c r="C16" t="s">
        <v>416</v>
      </c>
      <c r="D16" s="8">
        <v>46067</v>
      </c>
      <c r="E16" t="s">
        <v>1651</v>
      </c>
      <c r="F16" t="s">
        <v>1687</v>
      </c>
      <c r="G16" s="6">
        <v>1997</v>
      </c>
      <c r="H16" t="s">
        <v>1656</v>
      </c>
      <c r="J16" s="8">
        <v>46090</v>
      </c>
      <c r="K16">
        <v>0</v>
      </c>
    </row>
    <row r="17" spans="1:11" x14ac:dyDescent="0.35">
      <c r="A17" t="s">
        <v>1688</v>
      </c>
      <c r="B17" t="s">
        <v>657</v>
      </c>
      <c r="C17" t="s">
        <v>243</v>
      </c>
      <c r="E17" t="s">
        <v>1651</v>
      </c>
      <c r="F17" t="s">
        <v>1689</v>
      </c>
      <c r="G17" s="6">
        <v>12747</v>
      </c>
      <c r="H17" t="s">
        <v>1667</v>
      </c>
      <c r="I17" t="s">
        <v>1690</v>
      </c>
      <c r="J17" s="8">
        <v>46136</v>
      </c>
      <c r="K17">
        <v>34</v>
      </c>
    </row>
    <row r="18" spans="1:11" x14ac:dyDescent="0.35">
      <c r="A18" t="s">
        <v>1691</v>
      </c>
      <c r="B18" t="s">
        <v>1196</v>
      </c>
      <c r="C18" t="s">
        <v>257</v>
      </c>
      <c r="E18" t="s">
        <v>1660</v>
      </c>
      <c r="F18" t="s">
        <v>1692</v>
      </c>
      <c r="G18" s="6">
        <v>17384</v>
      </c>
      <c r="H18" t="s">
        <v>671</v>
      </c>
      <c r="I18" t="s">
        <v>1693</v>
      </c>
      <c r="J18" s="8">
        <v>46136</v>
      </c>
      <c r="K18">
        <v>34</v>
      </c>
    </row>
    <row r="19" spans="1:11" x14ac:dyDescent="0.35">
      <c r="A19" t="s">
        <v>1694</v>
      </c>
      <c r="B19" t="s">
        <v>1454</v>
      </c>
      <c r="C19" t="s">
        <v>304</v>
      </c>
      <c r="D19" s="8">
        <v>46050</v>
      </c>
      <c r="E19" t="s">
        <v>1651</v>
      </c>
      <c r="F19" t="s">
        <v>1695</v>
      </c>
      <c r="G19" s="6">
        <v>1207</v>
      </c>
      <c r="H19" t="s">
        <v>1656</v>
      </c>
      <c r="J19" s="8">
        <v>46049</v>
      </c>
      <c r="K19">
        <v>0</v>
      </c>
    </row>
    <row r="20" spans="1:11" x14ac:dyDescent="0.35">
      <c r="A20" t="s">
        <v>1696</v>
      </c>
      <c r="B20" t="s">
        <v>1028</v>
      </c>
      <c r="C20" t="s">
        <v>310</v>
      </c>
      <c r="D20" s="8">
        <v>46098</v>
      </c>
      <c r="E20" t="s">
        <v>1651</v>
      </c>
      <c r="F20" t="s">
        <v>1697</v>
      </c>
      <c r="G20" s="6">
        <v>6298</v>
      </c>
      <c r="H20" t="s">
        <v>1656</v>
      </c>
      <c r="J20" s="8">
        <v>46106</v>
      </c>
      <c r="K20">
        <v>0</v>
      </c>
    </row>
    <row r="21" spans="1:11" x14ac:dyDescent="0.35">
      <c r="A21" t="s">
        <v>1698</v>
      </c>
      <c r="B21" t="s">
        <v>1524</v>
      </c>
      <c r="C21" t="s">
        <v>233</v>
      </c>
      <c r="D21" s="8">
        <v>46107</v>
      </c>
      <c r="E21" t="s">
        <v>1651</v>
      </c>
      <c r="F21" t="s">
        <v>1699</v>
      </c>
      <c r="G21" s="6">
        <v>11527</v>
      </c>
      <c r="H21" t="s">
        <v>1656</v>
      </c>
      <c r="J21" s="8">
        <v>46126</v>
      </c>
      <c r="K21">
        <v>0</v>
      </c>
    </row>
    <row r="22" spans="1:11" x14ac:dyDescent="0.35">
      <c r="A22" t="s">
        <v>1700</v>
      </c>
      <c r="B22" t="s">
        <v>1154</v>
      </c>
      <c r="C22" t="s">
        <v>87</v>
      </c>
      <c r="E22" t="s">
        <v>1651</v>
      </c>
      <c r="G22" s="6">
        <v>20158</v>
      </c>
      <c r="H22" t="s">
        <v>671</v>
      </c>
      <c r="I22" t="s">
        <v>1690</v>
      </c>
      <c r="J22" s="8">
        <v>46108</v>
      </c>
      <c r="K22">
        <v>62</v>
      </c>
    </row>
    <row r="23" spans="1:11" x14ac:dyDescent="0.35">
      <c r="A23" t="s">
        <v>1701</v>
      </c>
      <c r="B23" t="s">
        <v>1170</v>
      </c>
      <c r="C23" t="s">
        <v>296</v>
      </c>
      <c r="D23" s="8">
        <v>46144</v>
      </c>
      <c r="E23" t="s">
        <v>1651</v>
      </c>
      <c r="F23" t="s">
        <v>1702</v>
      </c>
      <c r="G23" s="6">
        <v>2552</v>
      </c>
      <c r="H23" t="s">
        <v>1653</v>
      </c>
      <c r="J23" s="8">
        <v>46169</v>
      </c>
      <c r="K23">
        <v>0</v>
      </c>
    </row>
    <row r="24" spans="1:11" x14ac:dyDescent="0.35">
      <c r="A24" t="s">
        <v>1703</v>
      </c>
      <c r="B24" t="s">
        <v>657</v>
      </c>
      <c r="C24" t="s">
        <v>94</v>
      </c>
      <c r="E24" t="s">
        <v>1663</v>
      </c>
      <c r="G24" s="6">
        <v>13660</v>
      </c>
      <c r="H24" t="s">
        <v>671</v>
      </c>
      <c r="I24" t="s">
        <v>1704</v>
      </c>
      <c r="J24" s="8">
        <v>46060</v>
      </c>
      <c r="K24">
        <v>110</v>
      </c>
    </row>
    <row r="25" spans="1:11" x14ac:dyDescent="0.35">
      <c r="A25" t="s">
        <v>1705</v>
      </c>
      <c r="B25" t="s">
        <v>1380</v>
      </c>
      <c r="C25" t="s">
        <v>94</v>
      </c>
      <c r="E25" t="s">
        <v>1660</v>
      </c>
      <c r="G25" s="6">
        <v>16993</v>
      </c>
      <c r="H25" t="s">
        <v>671</v>
      </c>
      <c r="I25" t="s">
        <v>1693</v>
      </c>
      <c r="J25" s="8">
        <v>46111</v>
      </c>
      <c r="K25">
        <v>59</v>
      </c>
    </row>
    <row r="26" spans="1:11" x14ac:dyDescent="0.35">
      <c r="A26" t="s">
        <v>1706</v>
      </c>
      <c r="B26" t="s">
        <v>751</v>
      </c>
      <c r="C26" t="s">
        <v>65</v>
      </c>
      <c r="D26" s="8">
        <v>46079</v>
      </c>
      <c r="E26" t="s">
        <v>1651</v>
      </c>
      <c r="F26" t="s">
        <v>1707</v>
      </c>
      <c r="G26" s="6">
        <v>8162</v>
      </c>
      <c r="H26" t="s">
        <v>1656</v>
      </c>
      <c r="J26" s="8">
        <v>46079</v>
      </c>
      <c r="K26">
        <v>0</v>
      </c>
    </row>
    <row r="27" spans="1:11" x14ac:dyDescent="0.35">
      <c r="A27" t="s">
        <v>1708</v>
      </c>
      <c r="B27" t="s">
        <v>1276</v>
      </c>
      <c r="C27" t="s">
        <v>363</v>
      </c>
      <c r="D27" s="8">
        <v>46121</v>
      </c>
      <c r="E27" t="s">
        <v>1663</v>
      </c>
      <c r="F27" t="s">
        <v>1709</v>
      </c>
      <c r="G27" s="6">
        <v>17850</v>
      </c>
      <c r="H27" t="s">
        <v>1653</v>
      </c>
      <c r="J27" s="8">
        <v>46123</v>
      </c>
      <c r="K27">
        <v>0</v>
      </c>
    </row>
    <row r="28" spans="1:11" x14ac:dyDescent="0.35">
      <c r="A28" t="s">
        <v>1710</v>
      </c>
      <c r="B28" t="s">
        <v>1304</v>
      </c>
      <c r="C28" t="s">
        <v>522</v>
      </c>
      <c r="E28" t="s">
        <v>1651</v>
      </c>
      <c r="F28" t="s">
        <v>1711</v>
      </c>
      <c r="G28" s="6">
        <v>10785</v>
      </c>
      <c r="H28" t="s">
        <v>1712</v>
      </c>
      <c r="I28" t="s">
        <v>1693</v>
      </c>
      <c r="J28" s="8">
        <v>46164</v>
      </c>
      <c r="K28">
        <v>6</v>
      </c>
    </row>
    <row r="29" spans="1:11" x14ac:dyDescent="0.35">
      <c r="A29" t="s">
        <v>1713</v>
      </c>
      <c r="B29" t="s">
        <v>707</v>
      </c>
      <c r="C29" t="s">
        <v>501</v>
      </c>
      <c r="D29" s="8">
        <v>46180</v>
      </c>
      <c r="E29" t="s">
        <v>1651</v>
      </c>
      <c r="F29" t="s">
        <v>1714</v>
      </c>
      <c r="G29" s="6">
        <v>19114</v>
      </c>
      <c r="H29" t="s">
        <v>1656</v>
      </c>
      <c r="J29" s="8">
        <v>46178</v>
      </c>
      <c r="K29">
        <v>0</v>
      </c>
    </row>
    <row r="30" spans="1:11" x14ac:dyDescent="0.35">
      <c r="A30" t="s">
        <v>1715</v>
      </c>
      <c r="B30" t="s">
        <v>1156</v>
      </c>
      <c r="C30" t="s">
        <v>129</v>
      </c>
      <c r="E30" t="s">
        <v>1651</v>
      </c>
      <c r="F30" t="s">
        <v>1716</v>
      </c>
      <c r="G30" s="6">
        <v>2565</v>
      </c>
      <c r="H30" t="s">
        <v>1712</v>
      </c>
      <c r="I30" t="s">
        <v>1673</v>
      </c>
      <c r="J30" s="8">
        <v>46145</v>
      </c>
      <c r="K30">
        <v>25</v>
      </c>
    </row>
    <row r="31" spans="1:11" x14ac:dyDescent="0.35">
      <c r="A31" t="s">
        <v>1717</v>
      </c>
      <c r="B31" t="s">
        <v>625</v>
      </c>
      <c r="C31" t="s">
        <v>48</v>
      </c>
      <c r="D31" s="8">
        <v>46136</v>
      </c>
      <c r="E31" t="s">
        <v>1660</v>
      </c>
      <c r="F31" t="s">
        <v>1718</v>
      </c>
      <c r="G31" s="6">
        <v>17009</v>
      </c>
      <c r="H31" t="s">
        <v>1656</v>
      </c>
      <c r="J31" s="8">
        <v>46142</v>
      </c>
      <c r="K31">
        <v>0</v>
      </c>
    </row>
    <row r="32" spans="1:11" x14ac:dyDescent="0.35">
      <c r="A32" t="s">
        <v>1719</v>
      </c>
      <c r="B32" t="s">
        <v>1462</v>
      </c>
      <c r="C32" t="s">
        <v>246</v>
      </c>
      <c r="D32" s="8">
        <v>46085</v>
      </c>
      <c r="E32" t="s">
        <v>1651</v>
      </c>
      <c r="F32" t="s">
        <v>1720</v>
      </c>
      <c r="G32" s="6">
        <v>7565</v>
      </c>
      <c r="H32" t="s">
        <v>1656</v>
      </c>
      <c r="J32" s="8">
        <v>46086</v>
      </c>
      <c r="K32">
        <v>0</v>
      </c>
    </row>
    <row r="33" spans="1:11" x14ac:dyDescent="0.35">
      <c r="A33" t="s">
        <v>1721</v>
      </c>
      <c r="B33" t="s">
        <v>697</v>
      </c>
      <c r="C33" t="s">
        <v>224</v>
      </c>
      <c r="D33" s="8">
        <v>46158</v>
      </c>
      <c r="E33" t="s">
        <v>1651</v>
      </c>
      <c r="F33" t="s">
        <v>1722</v>
      </c>
      <c r="G33" s="6">
        <v>15043</v>
      </c>
      <c r="H33" t="s">
        <v>1656</v>
      </c>
      <c r="J33" s="8">
        <v>46170</v>
      </c>
      <c r="K33">
        <v>0</v>
      </c>
    </row>
    <row r="34" spans="1:11" x14ac:dyDescent="0.35">
      <c r="A34" t="s">
        <v>1723</v>
      </c>
      <c r="B34" t="s">
        <v>1444</v>
      </c>
      <c r="C34" t="s">
        <v>519</v>
      </c>
      <c r="D34" s="8">
        <v>46167</v>
      </c>
      <c r="E34" t="s">
        <v>1651</v>
      </c>
      <c r="F34" t="s">
        <v>1724</v>
      </c>
      <c r="G34" s="6">
        <v>2361</v>
      </c>
      <c r="H34" t="s">
        <v>1656</v>
      </c>
      <c r="J34" s="8">
        <v>46178</v>
      </c>
      <c r="K34">
        <v>0</v>
      </c>
    </row>
    <row r="35" spans="1:11" x14ac:dyDescent="0.35">
      <c r="A35" t="s">
        <v>1725</v>
      </c>
      <c r="B35" t="s">
        <v>929</v>
      </c>
      <c r="C35" t="s">
        <v>149</v>
      </c>
      <c r="D35" s="8">
        <v>46066</v>
      </c>
      <c r="E35" t="s">
        <v>1651</v>
      </c>
      <c r="F35" t="s">
        <v>1726</v>
      </c>
      <c r="G35" s="6">
        <v>12912</v>
      </c>
      <c r="H35" t="s">
        <v>1656</v>
      </c>
      <c r="J35" s="8">
        <v>46080</v>
      </c>
      <c r="K35">
        <v>0</v>
      </c>
    </row>
    <row r="36" spans="1:11" x14ac:dyDescent="0.35">
      <c r="A36" t="s">
        <v>1727</v>
      </c>
      <c r="B36" t="s">
        <v>1404</v>
      </c>
      <c r="C36" t="s">
        <v>437</v>
      </c>
      <c r="E36" t="s">
        <v>1660</v>
      </c>
      <c r="G36" s="6">
        <v>20279</v>
      </c>
      <c r="H36" t="s">
        <v>671</v>
      </c>
      <c r="I36" t="s">
        <v>1704</v>
      </c>
      <c r="J36" s="8">
        <v>46055</v>
      </c>
      <c r="K36">
        <v>115</v>
      </c>
    </row>
    <row r="37" spans="1:11" x14ac:dyDescent="0.35">
      <c r="A37" t="s">
        <v>1728</v>
      </c>
      <c r="B37" t="s">
        <v>682</v>
      </c>
      <c r="C37" t="s">
        <v>470</v>
      </c>
      <c r="D37" s="8">
        <v>46105</v>
      </c>
      <c r="E37" t="s">
        <v>1651</v>
      </c>
      <c r="F37" t="s">
        <v>1729</v>
      </c>
      <c r="G37" s="6">
        <v>8871</v>
      </c>
      <c r="H37" t="s">
        <v>1656</v>
      </c>
      <c r="J37" s="8">
        <v>46115</v>
      </c>
      <c r="K37">
        <v>0</v>
      </c>
    </row>
    <row r="38" spans="1:11" x14ac:dyDescent="0.35">
      <c r="A38" t="s">
        <v>1730</v>
      </c>
      <c r="B38" t="s">
        <v>739</v>
      </c>
      <c r="C38" t="s">
        <v>117</v>
      </c>
      <c r="E38" t="s">
        <v>1651</v>
      </c>
      <c r="F38" t="s">
        <v>1731</v>
      </c>
      <c r="G38" s="6">
        <v>165</v>
      </c>
      <c r="H38" t="s">
        <v>1712</v>
      </c>
      <c r="I38" t="s">
        <v>1704</v>
      </c>
      <c r="J38" s="8">
        <v>46082</v>
      </c>
      <c r="K38">
        <v>88</v>
      </c>
    </row>
    <row r="39" spans="1:11" x14ac:dyDescent="0.35">
      <c r="A39" t="s">
        <v>1732</v>
      </c>
      <c r="B39" t="s">
        <v>1306</v>
      </c>
      <c r="C39" t="s">
        <v>319</v>
      </c>
      <c r="D39" s="8">
        <v>46051</v>
      </c>
      <c r="E39" t="s">
        <v>1651</v>
      </c>
      <c r="F39" t="s">
        <v>1733</v>
      </c>
      <c r="G39" s="6">
        <v>16005</v>
      </c>
      <c r="H39" t="s">
        <v>1656</v>
      </c>
      <c r="J39" s="8">
        <v>46066</v>
      </c>
      <c r="K39">
        <v>0</v>
      </c>
    </row>
    <row r="40" spans="1:11" x14ac:dyDescent="0.35">
      <c r="A40" t="s">
        <v>1734</v>
      </c>
      <c r="B40" t="s">
        <v>1300</v>
      </c>
      <c r="C40" t="s">
        <v>171</v>
      </c>
      <c r="D40" s="8">
        <v>46084</v>
      </c>
      <c r="E40" t="s">
        <v>1651</v>
      </c>
      <c r="F40" t="s">
        <v>1735</v>
      </c>
      <c r="G40" s="6">
        <v>18983</v>
      </c>
      <c r="H40" t="s">
        <v>1656</v>
      </c>
      <c r="J40" s="8">
        <v>46100</v>
      </c>
      <c r="K40">
        <v>0</v>
      </c>
    </row>
    <row r="41" spans="1:11" x14ac:dyDescent="0.35">
      <c r="A41" t="s">
        <v>1736</v>
      </c>
      <c r="B41" t="s">
        <v>667</v>
      </c>
      <c r="C41" t="s">
        <v>437</v>
      </c>
      <c r="D41" s="8">
        <v>46129</v>
      </c>
      <c r="E41" t="s">
        <v>1651</v>
      </c>
      <c r="F41" t="s">
        <v>1737</v>
      </c>
      <c r="G41" s="6">
        <v>9229</v>
      </c>
      <c r="H41" t="s">
        <v>1653</v>
      </c>
      <c r="J41" s="8">
        <v>46124</v>
      </c>
      <c r="K41">
        <v>0</v>
      </c>
    </row>
    <row r="42" spans="1:11" x14ac:dyDescent="0.35">
      <c r="A42" t="s">
        <v>1738</v>
      </c>
      <c r="B42" t="s">
        <v>1062</v>
      </c>
      <c r="C42" t="s">
        <v>413</v>
      </c>
      <c r="D42" s="8">
        <v>46111</v>
      </c>
      <c r="E42" t="s">
        <v>1663</v>
      </c>
      <c r="F42" t="s">
        <v>1739</v>
      </c>
      <c r="G42" s="6">
        <v>4446</v>
      </c>
      <c r="H42" t="s">
        <v>1656</v>
      </c>
      <c r="J42" s="8">
        <v>46124</v>
      </c>
      <c r="K42">
        <v>0</v>
      </c>
    </row>
    <row r="43" spans="1:11" x14ac:dyDescent="0.35">
      <c r="A43" t="s">
        <v>1740</v>
      </c>
      <c r="B43" t="s">
        <v>779</v>
      </c>
      <c r="C43" t="s">
        <v>322</v>
      </c>
      <c r="E43" t="s">
        <v>1660</v>
      </c>
      <c r="F43" t="s">
        <v>1741</v>
      </c>
      <c r="G43" s="6">
        <v>6467</v>
      </c>
      <c r="H43" t="s">
        <v>1667</v>
      </c>
      <c r="I43" t="s">
        <v>1742</v>
      </c>
      <c r="J43" s="8">
        <v>46154</v>
      </c>
      <c r="K43">
        <v>16</v>
      </c>
    </row>
    <row r="44" spans="1:11" x14ac:dyDescent="0.35">
      <c r="A44" t="s">
        <v>1743</v>
      </c>
      <c r="B44" t="s">
        <v>1294</v>
      </c>
      <c r="C44" t="s">
        <v>483</v>
      </c>
      <c r="D44" s="8">
        <v>46106</v>
      </c>
      <c r="E44" t="s">
        <v>1663</v>
      </c>
      <c r="F44" t="s">
        <v>1744</v>
      </c>
      <c r="G44" s="6">
        <v>10244</v>
      </c>
      <c r="H44" t="s">
        <v>1656</v>
      </c>
      <c r="J44" s="8">
        <v>46121</v>
      </c>
      <c r="K44">
        <v>0</v>
      </c>
    </row>
    <row r="45" spans="1:11" x14ac:dyDescent="0.35">
      <c r="A45" t="s">
        <v>1745</v>
      </c>
      <c r="B45" t="s">
        <v>1448</v>
      </c>
      <c r="C45" t="s">
        <v>509</v>
      </c>
      <c r="D45" s="8">
        <v>46085</v>
      </c>
      <c r="E45" t="s">
        <v>1663</v>
      </c>
      <c r="F45" t="s">
        <v>1746</v>
      </c>
      <c r="G45" s="6">
        <v>10407</v>
      </c>
      <c r="H45" t="s">
        <v>1656</v>
      </c>
      <c r="J45" s="8">
        <v>46101</v>
      </c>
      <c r="K45">
        <v>0</v>
      </c>
    </row>
    <row r="46" spans="1:11" x14ac:dyDescent="0.35">
      <c r="A46" t="s">
        <v>1747</v>
      </c>
      <c r="B46" t="s">
        <v>1524</v>
      </c>
      <c r="C46" t="s">
        <v>397</v>
      </c>
      <c r="D46" s="8">
        <v>46149</v>
      </c>
      <c r="E46" t="s">
        <v>1651</v>
      </c>
      <c r="F46" t="s">
        <v>1748</v>
      </c>
      <c r="G46" s="6">
        <v>4084</v>
      </c>
      <c r="H46" t="s">
        <v>1656</v>
      </c>
      <c r="J46" s="8">
        <v>46159</v>
      </c>
      <c r="K46">
        <v>0</v>
      </c>
    </row>
    <row r="47" spans="1:11" x14ac:dyDescent="0.35">
      <c r="A47" t="s">
        <v>1749</v>
      </c>
      <c r="B47" t="s">
        <v>770</v>
      </c>
      <c r="C47" t="s">
        <v>537</v>
      </c>
      <c r="E47" t="s">
        <v>1660</v>
      </c>
      <c r="G47" s="6">
        <v>8260</v>
      </c>
      <c r="H47" t="s">
        <v>671</v>
      </c>
      <c r="I47" t="s">
        <v>1704</v>
      </c>
      <c r="J47" s="8">
        <v>46074</v>
      </c>
      <c r="K47">
        <v>96</v>
      </c>
    </row>
    <row r="48" spans="1:11" x14ac:dyDescent="0.35">
      <c r="A48" t="s">
        <v>1750</v>
      </c>
      <c r="B48" t="s">
        <v>1408</v>
      </c>
      <c r="C48" t="s">
        <v>454</v>
      </c>
      <c r="D48" s="8">
        <v>46125</v>
      </c>
      <c r="E48" t="s">
        <v>1660</v>
      </c>
      <c r="F48" t="s">
        <v>1751</v>
      </c>
      <c r="G48" s="6">
        <v>11801</v>
      </c>
      <c r="H48" t="s">
        <v>1656</v>
      </c>
      <c r="J48" s="8">
        <v>46130</v>
      </c>
      <c r="K48">
        <v>0</v>
      </c>
    </row>
    <row r="49" spans="1:11" x14ac:dyDescent="0.35">
      <c r="A49" t="s">
        <v>1752</v>
      </c>
      <c r="B49" t="s">
        <v>1622</v>
      </c>
      <c r="C49" t="s">
        <v>513</v>
      </c>
      <c r="D49" s="8">
        <v>46080</v>
      </c>
      <c r="E49" t="s">
        <v>1651</v>
      </c>
      <c r="F49" t="s">
        <v>1753</v>
      </c>
      <c r="G49" s="6">
        <v>5285</v>
      </c>
      <c r="H49" t="s">
        <v>1656</v>
      </c>
      <c r="J49" s="8">
        <v>46083</v>
      </c>
      <c r="K49">
        <v>0</v>
      </c>
    </row>
    <row r="50" spans="1:11" x14ac:dyDescent="0.35">
      <c r="A50" t="s">
        <v>1754</v>
      </c>
      <c r="B50" t="s">
        <v>701</v>
      </c>
      <c r="C50" t="s">
        <v>80</v>
      </c>
      <c r="E50" t="s">
        <v>1660</v>
      </c>
      <c r="F50" t="s">
        <v>1755</v>
      </c>
      <c r="G50" s="6">
        <v>15097</v>
      </c>
      <c r="H50" t="s">
        <v>1712</v>
      </c>
      <c r="I50" t="s">
        <v>1742</v>
      </c>
      <c r="J50" s="8">
        <v>46135</v>
      </c>
      <c r="K50">
        <v>35</v>
      </c>
    </row>
    <row r="51" spans="1:11" x14ac:dyDescent="0.35">
      <c r="A51" t="s">
        <v>1756</v>
      </c>
      <c r="B51" t="s">
        <v>1518</v>
      </c>
      <c r="C51" t="s">
        <v>509</v>
      </c>
      <c r="D51" s="8">
        <v>46109</v>
      </c>
      <c r="E51" t="s">
        <v>1651</v>
      </c>
      <c r="F51" t="s">
        <v>1757</v>
      </c>
      <c r="G51" s="6">
        <v>12968</v>
      </c>
      <c r="H51" t="s">
        <v>1656</v>
      </c>
      <c r="J51" s="8">
        <v>46130</v>
      </c>
      <c r="K51">
        <v>0</v>
      </c>
    </row>
    <row r="52" spans="1:11" x14ac:dyDescent="0.35">
      <c r="A52" t="s">
        <v>1758</v>
      </c>
      <c r="B52" t="s">
        <v>1198</v>
      </c>
      <c r="C52" t="s">
        <v>183</v>
      </c>
      <c r="D52" s="8">
        <v>46167</v>
      </c>
      <c r="E52" t="s">
        <v>1663</v>
      </c>
      <c r="F52" t="s">
        <v>1759</v>
      </c>
      <c r="G52" s="6">
        <v>18786</v>
      </c>
      <c r="H52" t="s">
        <v>1656</v>
      </c>
      <c r="J52" s="8">
        <v>46181</v>
      </c>
      <c r="K52">
        <v>0</v>
      </c>
    </row>
    <row r="53" spans="1:11" x14ac:dyDescent="0.35">
      <c r="A53" t="s">
        <v>1760</v>
      </c>
      <c r="B53" t="s">
        <v>1254</v>
      </c>
      <c r="C53" t="s">
        <v>388</v>
      </c>
      <c r="D53" s="8">
        <v>46074</v>
      </c>
      <c r="E53" t="s">
        <v>1660</v>
      </c>
      <c r="F53" t="s">
        <v>1761</v>
      </c>
      <c r="G53" s="6">
        <v>10081</v>
      </c>
      <c r="H53" t="s">
        <v>1653</v>
      </c>
      <c r="J53" s="8">
        <v>46089</v>
      </c>
      <c r="K53">
        <v>0</v>
      </c>
    </row>
    <row r="54" spans="1:11" x14ac:dyDescent="0.35">
      <c r="A54" t="s">
        <v>1762</v>
      </c>
      <c r="B54" t="s">
        <v>1170</v>
      </c>
      <c r="C54" t="s">
        <v>437</v>
      </c>
      <c r="D54" s="8">
        <v>46060</v>
      </c>
      <c r="E54" t="s">
        <v>1651</v>
      </c>
      <c r="F54" t="s">
        <v>1763</v>
      </c>
      <c r="G54" s="6">
        <v>9923</v>
      </c>
      <c r="H54" t="s">
        <v>1656</v>
      </c>
      <c r="J54" s="8">
        <v>46077</v>
      </c>
      <c r="K54">
        <v>0</v>
      </c>
    </row>
    <row r="55" spans="1:11" x14ac:dyDescent="0.35">
      <c r="A55" t="s">
        <v>1764</v>
      </c>
      <c r="B55" t="s">
        <v>1240</v>
      </c>
      <c r="C55" t="s">
        <v>413</v>
      </c>
      <c r="D55" s="8">
        <v>46098</v>
      </c>
      <c r="E55" t="s">
        <v>1663</v>
      </c>
      <c r="F55" t="s">
        <v>1765</v>
      </c>
      <c r="G55" s="6">
        <v>5609</v>
      </c>
      <c r="H55" t="s">
        <v>1656</v>
      </c>
      <c r="J55" s="8">
        <v>46118</v>
      </c>
      <c r="K55">
        <v>0</v>
      </c>
    </row>
    <row r="56" spans="1:11" x14ac:dyDescent="0.35">
      <c r="A56" t="s">
        <v>1766</v>
      </c>
      <c r="B56" t="s">
        <v>1204</v>
      </c>
      <c r="C56" t="s">
        <v>193</v>
      </c>
      <c r="D56" s="8">
        <v>46154</v>
      </c>
      <c r="E56" t="s">
        <v>1651</v>
      </c>
      <c r="F56" t="s">
        <v>1767</v>
      </c>
      <c r="G56" s="6">
        <v>2154</v>
      </c>
      <c r="H56" t="s">
        <v>1656</v>
      </c>
      <c r="J56" s="8">
        <v>46167</v>
      </c>
      <c r="K56">
        <v>0</v>
      </c>
    </row>
    <row r="57" spans="1:11" x14ac:dyDescent="0.35">
      <c r="A57" t="s">
        <v>1768</v>
      </c>
      <c r="B57" t="s">
        <v>801</v>
      </c>
      <c r="C57" t="s">
        <v>410</v>
      </c>
      <c r="D57" s="8">
        <v>46122</v>
      </c>
      <c r="E57" t="s">
        <v>1651</v>
      </c>
      <c r="F57" t="s">
        <v>1769</v>
      </c>
      <c r="G57" s="6">
        <v>12639</v>
      </c>
      <c r="H57" t="s">
        <v>1656</v>
      </c>
      <c r="J57" s="8">
        <v>46136</v>
      </c>
      <c r="K57">
        <v>0</v>
      </c>
    </row>
    <row r="58" spans="1:11" x14ac:dyDescent="0.35">
      <c r="A58" t="s">
        <v>1770</v>
      </c>
      <c r="B58" t="s">
        <v>979</v>
      </c>
      <c r="C58" t="s">
        <v>69</v>
      </c>
      <c r="D58" s="8">
        <v>46172</v>
      </c>
      <c r="E58" t="s">
        <v>1651</v>
      </c>
      <c r="F58" t="s">
        <v>1771</v>
      </c>
      <c r="G58" s="6">
        <v>19691</v>
      </c>
      <c r="H58" t="s">
        <v>1656</v>
      </c>
      <c r="J58" s="8">
        <v>46171</v>
      </c>
      <c r="K58">
        <v>0</v>
      </c>
    </row>
    <row r="59" spans="1:11" x14ac:dyDescent="0.35">
      <c r="A59" t="s">
        <v>1772</v>
      </c>
      <c r="B59" t="s">
        <v>923</v>
      </c>
      <c r="C59" t="s">
        <v>135</v>
      </c>
      <c r="D59" s="8">
        <v>46055</v>
      </c>
      <c r="E59" t="s">
        <v>1663</v>
      </c>
      <c r="F59" t="s">
        <v>1773</v>
      </c>
      <c r="G59" s="6">
        <v>7266</v>
      </c>
      <c r="H59" t="s">
        <v>1656</v>
      </c>
      <c r="J59" s="8">
        <v>46078</v>
      </c>
      <c r="K59">
        <v>0</v>
      </c>
    </row>
    <row r="60" spans="1:11" x14ac:dyDescent="0.35">
      <c r="A60" t="s">
        <v>1774</v>
      </c>
      <c r="B60" t="s">
        <v>1118</v>
      </c>
      <c r="C60" t="s">
        <v>421</v>
      </c>
      <c r="D60" s="8">
        <v>46139</v>
      </c>
      <c r="E60" t="s">
        <v>1663</v>
      </c>
      <c r="F60" t="s">
        <v>1775</v>
      </c>
      <c r="G60" s="6">
        <v>3864</v>
      </c>
      <c r="H60" t="s">
        <v>1656</v>
      </c>
      <c r="J60" s="8">
        <v>46147</v>
      </c>
      <c r="K60">
        <v>0</v>
      </c>
    </row>
    <row r="61" spans="1:11" x14ac:dyDescent="0.35">
      <c r="A61" t="s">
        <v>1776</v>
      </c>
      <c r="B61" t="s">
        <v>1066</v>
      </c>
      <c r="C61" t="s">
        <v>460</v>
      </c>
      <c r="D61" s="8">
        <v>46118</v>
      </c>
      <c r="E61" t="s">
        <v>1660</v>
      </c>
      <c r="F61" t="s">
        <v>1777</v>
      </c>
      <c r="G61" s="6">
        <v>6471</v>
      </c>
      <c r="H61" t="s">
        <v>1656</v>
      </c>
      <c r="J61" s="8">
        <v>46121</v>
      </c>
      <c r="K61">
        <v>0</v>
      </c>
    </row>
    <row r="62" spans="1:11" x14ac:dyDescent="0.35">
      <c r="A62" t="s">
        <v>1778</v>
      </c>
      <c r="B62" t="s">
        <v>1128</v>
      </c>
      <c r="C62" t="s">
        <v>284</v>
      </c>
      <c r="D62" s="8">
        <v>46048</v>
      </c>
      <c r="E62" t="s">
        <v>1651</v>
      </c>
      <c r="F62" t="s">
        <v>1779</v>
      </c>
      <c r="G62" s="6">
        <v>21086</v>
      </c>
      <c r="H62" t="s">
        <v>1656</v>
      </c>
      <c r="J62" s="8">
        <v>46075</v>
      </c>
      <c r="K62">
        <v>0</v>
      </c>
    </row>
    <row r="63" spans="1:11" x14ac:dyDescent="0.35">
      <c r="A63" t="s">
        <v>1780</v>
      </c>
      <c r="B63" t="s">
        <v>1158</v>
      </c>
      <c r="C63" t="s">
        <v>553</v>
      </c>
      <c r="D63" s="8">
        <v>46120</v>
      </c>
      <c r="E63" t="s">
        <v>1651</v>
      </c>
      <c r="F63" t="s">
        <v>1781</v>
      </c>
      <c r="G63" s="6">
        <v>18441</v>
      </c>
      <c r="H63" t="s">
        <v>1656</v>
      </c>
      <c r="J63" s="8">
        <v>46122</v>
      </c>
      <c r="K63">
        <v>0</v>
      </c>
    </row>
    <row r="64" spans="1:11" x14ac:dyDescent="0.35">
      <c r="A64" t="s">
        <v>1782</v>
      </c>
      <c r="B64" t="s">
        <v>1258</v>
      </c>
      <c r="C64" t="s">
        <v>180</v>
      </c>
      <c r="D64" s="8">
        <v>46067</v>
      </c>
      <c r="E64" t="s">
        <v>1651</v>
      </c>
      <c r="F64" t="s">
        <v>1783</v>
      </c>
      <c r="G64" s="6">
        <v>13205</v>
      </c>
      <c r="H64" t="s">
        <v>1656</v>
      </c>
      <c r="J64" s="8">
        <v>46091</v>
      </c>
      <c r="K64">
        <v>0</v>
      </c>
    </row>
    <row r="65" spans="1:11" x14ac:dyDescent="0.35">
      <c r="A65" t="s">
        <v>1784</v>
      </c>
      <c r="B65" t="s">
        <v>1392</v>
      </c>
      <c r="C65" t="s">
        <v>298</v>
      </c>
      <c r="D65" s="8">
        <v>46175</v>
      </c>
      <c r="E65" t="s">
        <v>1651</v>
      </c>
      <c r="F65" t="s">
        <v>1785</v>
      </c>
      <c r="G65" s="6">
        <v>11017</v>
      </c>
      <c r="H65" t="s">
        <v>1656</v>
      </c>
      <c r="J65" s="8">
        <v>46176</v>
      </c>
      <c r="K65">
        <v>0</v>
      </c>
    </row>
    <row r="66" spans="1:11" x14ac:dyDescent="0.35">
      <c r="A66" t="s">
        <v>1786</v>
      </c>
      <c r="B66" t="s">
        <v>1154</v>
      </c>
      <c r="C66" t="s">
        <v>351</v>
      </c>
      <c r="D66" s="8">
        <v>46133</v>
      </c>
      <c r="E66" t="s">
        <v>1651</v>
      </c>
      <c r="F66" t="s">
        <v>1787</v>
      </c>
      <c r="G66" s="6">
        <v>1834</v>
      </c>
      <c r="H66" t="s">
        <v>1653</v>
      </c>
      <c r="J66" s="8">
        <v>46147</v>
      </c>
      <c r="K66">
        <v>0</v>
      </c>
    </row>
    <row r="67" spans="1:11" x14ac:dyDescent="0.35">
      <c r="A67" t="s">
        <v>1788</v>
      </c>
      <c r="B67" t="s">
        <v>1462</v>
      </c>
      <c r="C67" t="s">
        <v>301</v>
      </c>
      <c r="D67" s="8">
        <v>46088</v>
      </c>
      <c r="E67" t="s">
        <v>1651</v>
      </c>
      <c r="F67" t="s">
        <v>1789</v>
      </c>
      <c r="G67" s="6">
        <v>17886</v>
      </c>
      <c r="H67" t="s">
        <v>1656</v>
      </c>
      <c r="J67" s="8">
        <v>46101</v>
      </c>
      <c r="K67">
        <v>0</v>
      </c>
    </row>
    <row r="68" spans="1:11" x14ac:dyDescent="0.35">
      <c r="A68" t="s">
        <v>1790</v>
      </c>
      <c r="B68" t="s">
        <v>1078</v>
      </c>
      <c r="C68" t="s">
        <v>478</v>
      </c>
      <c r="D68" s="8">
        <v>46129</v>
      </c>
      <c r="E68" t="s">
        <v>1663</v>
      </c>
      <c r="F68" t="s">
        <v>1791</v>
      </c>
      <c r="G68" s="6">
        <v>3310</v>
      </c>
      <c r="H68" t="s">
        <v>1653</v>
      </c>
      <c r="J68" s="8">
        <v>46133</v>
      </c>
      <c r="K68">
        <v>0</v>
      </c>
    </row>
    <row r="69" spans="1:11" x14ac:dyDescent="0.35">
      <c r="A69" t="s">
        <v>1792</v>
      </c>
      <c r="B69" t="s">
        <v>803</v>
      </c>
      <c r="C69" t="s">
        <v>375</v>
      </c>
      <c r="E69" t="s">
        <v>1660</v>
      </c>
      <c r="G69" s="6">
        <v>15205</v>
      </c>
      <c r="H69" t="s">
        <v>671</v>
      </c>
      <c r="I69" t="s">
        <v>1704</v>
      </c>
      <c r="J69" s="8">
        <v>46139</v>
      </c>
      <c r="K69">
        <v>31</v>
      </c>
    </row>
    <row r="70" spans="1:11" x14ac:dyDescent="0.35">
      <c r="A70" t="s">
        <v>1793</v>
      </c>
      <c r="B70" t="s">
        <v>659</v>
      </c>
      <c r="C70" t="s">
        <v>333</v>
      </c>
      <c r="E70" t="s">
        <v>1651</v>
      </c>
      <c r="G70" s="6">
        <v>665</v>
      </c>
      <c r="H70" t="s">
        <v>1667</v>
      </c>
      <c r="I70" t="s">
        <v>1673</v>
      </c>
      <c r="J70" s="8">
        <v>46158</v>
      </c>
      <c r="K70">
        <v>12</v>
      </c>
    </row>
    <row r="71" spans="1:11" x14ac:dyDescent="0.35">
      <c r="A71" t="s">
        <v>1794</v>
      </c>
      <c r="B71" t="s">
        <v>1011</v>
      </c>
      <c r="C71" t="s">
        <v>388</v>
      </c>
      <c r="D71" s="8">
        <v>46110</v>
      </c>
      <c r="E71" t="s">
        <v>1651</v>
      </c>
      <c r="F71" t="s">
        <v>1795</v>
      </c>
      <c r="G71" s="6">
        <v>12726</v>
      </c>
      <c r="H71" t="s">
        <v>1656</v>
      </c>
      <c r="J71" s="8">
        <v>46116</v>
      </c>
      <c r="K71">
        <v>0</v>
      </c>
    </row>
    <row r="72" spans="1:11" x14ac:dyDescent="0.35">
      <c r="A72" t="s">
        <v>1796</v>
      </c>
      <c r="B72" t="s">
        <v>1134</v>
      </c>
      <c r="C72" t="s">
        <v>504</v>
      </c>
      <c r="D72" s="8">
        <v>46159</v>
      </c>
      <c r="E72" t="s">
        <v>1651</v>
      </c>
      <c r="F72" t="s">
        <v>1797</v>
      </c>
      <c r="G72" s="6">
        <v>2518</v>
      </c>
      <c r="H72" t="s">
        <v>1656</v>
      </c>
      <c r="J72" s="8">
        <v>46173</v>
      </c>
      <c r="K72">
        <v>0</v>
      </c>
    </row>
    <row r="73" spans="1:11" x14ac:dyDescent="0.35">
      <c r="A73" t="s">
        <v>1798</v>
      </c>
      <c r="B73" t="s">
        <v>1444</v>
      </c>
      <c r="C73" t="s">
        <v>563</v>
      </c>
      <c r="D73" s="8">
        <v>46051</v>
      </c>
      <c r="E73" t="s">
        <v>1660</v>
      </c>
      <c r="F73" t="s">
        <v>1799</v>
      </c>
      <c r="G73" s="6">
        <v>12919</v>
      </c>
      <c r="H73" t="s">
        <v>1656</v>
      </c>
      <c r="J73" s="8">
        <v>46063</v>
      </c>
      <c r="K73">
        <v>0</v>
      </c>
    </row>
    <row r="74" spans="1:11" x14ac:dyDescent="0.35">
      <c r="A74" t="s">
        <v>1800</v>
      </c>
      <c r="B74" t="s">
        <v>1028</v>
      </c>
      <c r="C74" t="s">
        <v>460</v>
      </c>
      <c r="D74" s="8">
        <v>46137</v>
      </c>
      <c r="E74" t="s">
        <v>1651</v>
      </c>
      <c r="F74" t="s">
        <v>1801</v>
      </c>
      <c r="G74" s="6">
        <v>3218</v>
      </c>
      <c r="H74" t="s">
        <v>1656</v>
      </c>
      <c r="J74" s="8">
        <v>46158</v>
      </c>
      <c r="K74">
        <v>0</v>
      </c>
    </row>
    <row r="75" spans="1:11" x14ac:dyDescent="0.35">
      <c r="A75" t="s">
        <v>1802</v>
      </c>
      <c r="B75" t="s">
        <v>617</v>
      </c>
      <c r="C75" t="s">
        <v>233</v>
      </c>
      <c r="D75" s="8">
        <v>46122</v>
      </c>
      <c r="E75" t="s">
        <v>1660</v>
      </c>
      <c r="F75" t="s">
        <v>1803</v>
      </c>
      <c r="G75" s="6">
        <v>4820</v>
      </c>
      <c r="H75" t="s">
        <v>1656</v>
      </c>
      <c r="J75" s="8">
        <v>46133</v>
      </c>
      <c r="K75">
        <v>0</v>
      </c>
    </row>
    <row r="76" spans="1:11" x14ac:dyDescent="0.35">
      <c r="A76" t="s">
        <v>1804</v>
      </c>
      <c r="B76" t="s">
        <v>1546</v>
      </c>
      <c r="C76" t="s">
        <v>307</v>
      </c>
      <c r="D76" s="8">
        <v>46109</v>
      </c>
      <c r="E76" t="s">
        <v>1651</v>
      </c>
      <c r="F76" t="s">
        <v>1805</v>
      </c>
      <c r="G76" s="6">
        <v>21878</v>
      </c>
      <c r="H76" t="s">
        <v>1656</v>
      </c>
      <c r="J76" s="8">
        <v>46123</v>
      </c>
      <c r="K76">
        <v>0</v>
      </c>
    </row>
    <row r="77" spans="1:11" x14ac:dyDescent="0.35">
      <c r="A77" t="s">
        <v>1806</v>
      </c>
      <c r="B77" t="s">
        <v>1052</v>
      </c>
      <c r="C77" t="s">
        <v>440</v>
      </c>
      <c r="E77" t="s">
        <v>1651</v>
      </c>
      <c r="G77" s="6">
        <v>19080</v>
      </c>
      <c r="H77" t="s">
        <v>671</v>
      </c>
      <c r="I77" t="s">
        <v>1673</v>
      </c>
      <c r="J77" s="8">
        <v>46071</v>
      </c>
      <c r="K77">
        <v>99</v>
      </c>
    </row>
    <row r="78" spans="1:11" x14ac:dyDescent="0.35">
      <c r="A78" t="s">
        <v>1807</v>
      </c>
      <c r="B78" t="s">
        <v>866</v>
      </c>
      <c r="C78" t="s">
        <v>255</v>
      </c>
      <c r="D78" s="8">
        <v>46147</v>
      </c>
      <c r="E78" t="s">
        <v>1651</v>
      </c>
      <c r="F78" t="s">
        <v>1808</v>
      </c>
      <c r="G78" s="6">
        <v>863</v>
      </c>
      <c r="H78" t="s">
        <v>1656</v>
      </c>
      <c r="J78" s="8">
        <v>46161</v>
      </c>
      <c r="K78">
        <v>0</v>
      </c>
    </row>
    <row r="79" spans="1:11" x14ac:dyDescent="0.35">
      <c r="A79" t="s">
        <v>1809</v>
      </c>
      <c r="B79" t="s">
        <v>1226</v>
      </c>
      <c r="C79" t="s">
        <v>339</v>
      </c>
      <c r="D79" s="8">
        <v>46068</v>
      </c>
      <c r="E79" t="s">
        <v>1663</v>
      </c>
      <c r="F79" t="s">
        <v>1810</v>
      </c>
      <c r="G79" s="6">
        <v>17763</v>
      </c>
      <c r="H79" t="s">
        <v>1656</v>
      </c>
      <c r="J79" s="8">
        <v>46065</v>
      </c>
      <c r="K79">
        <v>0</v>
      </c>
    </row>
    <row r="80" spans="1:11" x14ac:dyDescent="0.35">
      <c r="A80" t="s">
        <v>1811</v>
      </c>
      <c r="B80" t="s">
        <v>851</v>
      </c>
      <c r="C80" t="s">
        <v>102</v>
      </c>
      <c r="D80" s="8">
        <v>46084</v>
      </c>
      <c r="E80" t="s">
        <v>1651</v>
      </c>
      <c r="F80" t="s">
        <v>1812</v>
      </c>
      <c r="G80" s="6">
        <v>9983</v>
      </c>
      <c r="H80" t="s">
        <v>1656</v>
      </c>
      <c r="J80" s="8">
        <v>46095</v>
      </c>
      <c r="K80">
        <v>0</v>
      </c>
    </row>
    <row r="81" spans="1:11" x14ac:dyDescent="0.35">
      <c r="A81" t="s">
        <v>1813</v>
      </c>
      <c r="B81" t="s">
        <v>913</v>
      </c>
      <c r="C81" t="s">
        <v>386</v>
      </c>
      <c r="D81" s="8">
        <v>46061</v>
      </c>
      <c r="E81" t="s">
        <v>1651</v>
      </c>
      <c r="F81" t="s">
        <v>1814</v>
      </c>
      <c r="G81" s="6">
        <v>18562</v>
      </c>
      <c r="H81" t="s">
        <v>1656</v>
      </c>
      <c r="J81" s="8">
        <v>46078</v>
      </c>
      <c r="K81">
        <v>0</v>
      </c>
    </row>
    <row r="82" spans="1:11" x14ac:dyDescent="0.35">
      <c r="A82" t="s">
        <v>1815</v>
      </c>
      <c r="B82" t="s">
        <v>682</v>
      </c>
      <c r="C82" t="s">
        <v>296</v>
      </c>
      <c r="E82" t="s">
        <v>1651</v>
      </c>
      <c r="F82" t="s">
        <v>1816</v>
      </c>
      <c r="G82" s="6">
        <v>5157</v>
      </c>
      <c r="H82" t="s">
        <v>1712</v>
      </c>
      <c r="I82" t="s">
        <v>1742</v>
      </c>
      <c r="J82" s="8">
        <v>46165</v>
      </c>
      <c r="K82">
        <v>5</v>
      </c>
    </row>
    <row r="83" spans="1:11" x14ac:dyDescent="0.35">
      <c r="A83" t="s">
        <v>1817</v>
      </c>
      <c r="B83" t="s">
        <v>1456</v>
      </c>
      <c r="C83" t="s">
        <v>186</v>
      </c>
      <c r="D83" s="8">
        <v>46121</v>
      </c>
      <c r="E83" t="s">
        <v>1651</v>
      </c>
      <c r="F83" t="s">
        <v>1818</v>
      </c>
      <c r="G83" s="6">
        <v>7844</v>
      </c>
      <c r="H83" t="s">
        <v>1656</v>
      </c>
      <c r="J83" s="8">
        <v>46135</v>
      </c>
      <c r="K83">
        <v>0</v>
      </c>
    </row>
    <row r="84" spans="1:11" x14ac:dyDescent="0.35">
      <c r="A84" t="s">
        <v>1819</v>
      </c>
      <c r="B84" t="s">
        <v>1458</v>
      </c>
      <c r="C84" t="s">
        <v>269</v>
      </c>
      <c r="D84" s="8">
        <v>46101</v>
      </c>
      <c r="E84" t="s">
        <v>1651</v>
      </c>
      <c r="F84" t="s">
        <v>1820</v>
      </c>
      <c r="G84" s="6">
        <v>13029</v>
      </c>
      <c r="H84" t="s">
        <v>1656</v>
      </c>
      <c r="J84" s="8">
        <v>46102</v>
      </c>
      <c r="K84">
        <v>0</v>
      </c>
    </row>
    <row r="85" spans="1:11" x14ac:dyDescent="0.35">
      <c r="A85" t="s">
        <v>1821</v>
      </c>
      <c r="B85" t="s">
        <v>1608</v>
      </c>
      <c r="C85" t="s">
        <v>556</v>
      </c>
      <c r="E85" t="s">
        <v>1660</v>
      </c>
      <c r="G85" s="6">
        <v>14007</v>
      </c>
      <c r="H85" t="s">
        <v>1712</v>
      </c>
      <c r="I85" t="s">
        <v>1704</v>
      </c>
      <c r="J85" s="8">
        <v>46068</v>
      </c>
      <c r="K85">
        <v>102</v>
      </c>
    </row>
    <row r="86" spans="1:11" x14ac:dyDescent="0.35">
      <c r="A86" t="s">
        <v>1822</v>
      </c>
      <c r="B86" t="s">
        <v>811</v>
      </c>
      <c r="C86" t="s">
        <v>563</v>
      </c>
      <c r="D86" s="8">
        <v>46122</v>
      </c>
      <c r="E86" t="s">
        <v>1651</v>
      </c>
      <c r="F86" t="s">
        <v>1823</v>
      </c>
      <c r="G86" s="6">
        <v>20530</v>
      </c>
      <c r="H86" t="s">
        <v>1653</v>
      </c>
      <c r="J86" s="8">
        <v>46136</v>
      </c>
      <c r="K86">
        <v>0</v>
      </c>
    </row>
    <row r="87" spans="1:11" x14ac:dyDescent="0.35">
      <c r="A87" t="s">
        <v>1824</v>
      </c>
      <c r="B87" t="s">
        <v>1378</v>
      </c>
      <c r="C87" t="s">
        <v>255</v>
      </c>
      <c r="E87" t="s">
        <v>1651</v>
      </c>
      <c r="G87" s="6">
        <v>1255</v>
      </c>
      <c r="H87" t="s">
        <v>1712</v>
      </c>
      <c r="I87" t="s">
        <v>1668</v>
      </c>
      <c r="J87" s="8">
        <v>46123</v>
      </c>
      <c r="K87">
        <v>47</v>
      </c>
    </row>
    <row r="88" spans="1:11" x14ac:dyDescent="0.35">
      <c r="A88" t="s">
        <v>1825</v>
      </c>
      <c r="B88" t="s">
        <v>582</v>
      </c>
      <c r="C88" t="s">
        <v>263</v>
      </c>
      <c r="E88" t="s">
        <v>1651</v>
      </c>
      <c r="F88" t="s">
        <v>1826</v>
      </c>
      <c r="G88" s="6">
        <v>11797</v>
      </c>
      <c r="H88" t="s">
        <v>671</v>
      </c>
      <c r="I88" t="s">
        <v>1693</v>
      </c>
      <c r="J88" s="8">
        <v>46160</v>
      </c>
      <c r="K88">
        <v>10</v>
      </c>
    </row>
    <row r="89" spans="1:11" x14ac:dyDescent="0.35">
      <c r="A89" t="s">
        <v>1827</v>
      </c>
      <c r="B89" t="s">
        <v>663</v>
      </c>
      <c r="C89" t="s">
        <v>483</v>
      </c>
      <c r="E89" t="s">
        <v>1651</v>
      </c>
      <c r="G89" s="6">
        <v>13853</v>
      </c>
      <c r="H89" t="s">
        <v>1712</v>
      </c>
      <c r="I89" t="s">
        <v>1704</v>
      </c>
      <c r="J89" s="8">
        <v>46057</v>
      </c>
      <c r="K89">
        <v>113</v>
      </c>
    </row>
    <row r="90" spans="1:11" x14ac:dyDescent="0.35">
      <c r="A90" t="s">
        <v>1828</v>
      </c>
      <c r="B90" t="s">
        <v>747</v>
      </c>
      <c r="C90" t="s">
        <v>132</v>
      </c>
      <c r="D90" s="8">
        <v>46061</v>
      </c>
      <c r="E90" t="s">
        <v>1651</v>
      </c>
      <c r="F90" t="s">
        <v>1829</v>
      </c>
      <c r="G90" s="6">
        <v>7310</v>
      </c>
      <c r="H90" t="s">
        <v>1656</v>
      </c>
      <c r="J90" s="8">
        <v>46068</v>
      </c>
      <c r="K90">
        <v>0</v>
      </c>
    </row>
    <row r="91" spans="1:11" x14ac:dyDescent="0.35">
      <c r="A91" t="s">
        <v>1830</v>
      </c>
      <c r="B91" t="s">
        <v>1480</v>
      </c>
      <c r="C91" t="s">
        <v>235</v>
      </c>
      <c r="D91" s="8">
        <v>46043</v>
      </c>
      <c r="E91" t="s">
        <v>1663</v>
      </c>
      <c r="F91" t="s">
        <v>1831</v>
      </c>
      <c r="G91" s="6">
        <v>9807</v>
      </c>
      <c r="H91" t="s">
        <v>1656</v>
      </c>
      <c r="J91" s="8">
        <v>46068</v>
      </c>
      <c r="K91">
        <v>0</v>
      </c>
    </row>
    <row r="92" spans="1:11" x14ac:dyDescent="0.35">
      <c r="A92" t="s">
        <v>1832</v>
      </c>
      <c r="B92" t="s">
        <v>1546</v>
      </c>
      <c r="C92" t="s">
        <v>333</v>
      </c>
      <c r="D92" s="8">
        <v>46047</v>
      </c>
      <c r="E92" t="s">
        <v>1651</v>
      </c>
      <c r="F92" t="s">
        <v>1833</v>
      </c>
      <c r="G92" s="6">
        <v>12845</v>
      </c>
      <c r="H92" t="s">
        <v>1653</v>
      </c>
      <c r="J92" s="8">
        <v>46048</v>
      </c>
      <c r="K92">
        <v>0</v>
      </c>
    </row>
    <row r="93" spans="1:11" x14ac:dyDescent="0.35">
      <c r="A93" t="s">
        <v>1834</v>
      </c>
      <c r="B93" t="s">
        <v>975</v>
      </c>
      <c r="C93" t="s">
        <v>174</v>
      </c>
      <c r="D93" s="8">
        <v>46045</v>
      </c>
      <c r="E93" t="s">
        <v>1660</v>
      </c>
      <c r="F93" t="s">
        <v>1835</v>
      </c>
      <c r="G93" s="6">
        <v>17075</v>
      </c>
      <c r="H93" t="s">
        <v>1656</v>
      </c>
      <c r="J93" s="8">
        <v>46066</v>
      </c>
      <c r="K93">
        <v>0</v>
      </c>
    </row>
    <row r="94" spans="1:11" x14ac:dyDescent="0.35">
      <c r="A94" t="s">
        <v>1836</v>
      </c>
      <c r="B94" t="s">
        <v>1532</v>
      </c>
      <c r="C94" t="s">
        <v>120</v>
      </c>
      <c r="D94" s="8">
        <v>46126</v>
      </c>
      <c r="E94" t="s">
        <v>1651</v>
      </c>
      <c r="F94" t="s">
        <v>1837</v>
      </c>
      <c r="G94" s="6">
        <v>11423</v>
      </c>
      <c r="H94" t="s">
        <v>1653</v>
      </c>
      <c r="J94" s="8">
        <v>46132</v>
      </c>
      <c r="K94">
        <v>0</v>
      </c>
    </row>
    <row r="95" spans="1:11" x14ac:dyDescent="0.35">
      <c r="A95" t="s">
        <v>1838</v>
      </c>
      <c r="B95" t="s">
        <v>1498</v>
      </c>
      <c r="C95" t="s">
        <v>563</v>
      </c>
      <c r="E95" t="s">
        <v>1651</v>
      </c>
      <c r="G95" s="6">
        <v>6870</v>
      </c>
      <c r="H95" t="s">
        <v>1712</v>
      </c>
      <c r="I95" t="s">
        <v>1690</v>
      </c>
      <c r="J95" s="8">
        <v>46187</v>
      </c>
      <c r="K95">
        <v>0</v>
      </c>
    </row>
    <row r="96" spans="1:11" x14ac:dyDescent="0.35">
      <c r="A96" t="s">
        <v>1839</v>
      </c>
      <c r="B96" t="s">
        <v>1332</v>
      </c>
      <c r="C96" t="s">
        <v>432</v>
      </c>
      <c r="E96" t="s">
        <v>1651</v>
      </c>
      <c r="F96" t="s">
        <v>1840</v>
      </c>
      <c r="G96" s="6">
        <v>7084</v>
      </c>
      <c r="H96" t="s">
        <v>1712</v>
      </c>
      <c r="I96" t="s">
        <v>1704</v>
      </c>
      <c r="J96" s="8">
        <v>46119</v>
      </c>
      <c r="K96">
        <v>51</v>
      </c>
    </row>
    <row r="97" spans="1:11" x14ac:dyDescent="0.35">
      <c r="A97" t="s">
        <v>1841</v>
      </c>
      <c r="B97" t="s">
        <v>1474</v>
      </c>
      <c r="C97" t="s">
        <v>135</v>
      </c>
      <c r="D97" s="8">
        <v>46080</v>
      </c>
      <c r="E97" t="s">
        <v>1651</v>
      </c>
      <c r="F97" t="s">
        <v>1842</v>
      </c>
      <c r="G97" s="6">
        <v>2650</v>
      </c>
      <c r="H97" t="s">
        <v>1653</v>
      </c>
      <c r="J97" s="8">
        <v>46092</v>
      </c>
      <c r="K97">
        <v>0</v>
      </c>
    </row>
    <row r="98" spans="1:11" x14ac:dyDescent="0.35">
      <c r="A98" t="s">
        <v>1843</v>
      </c>
      <c r="B98" t="s">
        <v>1246</v>
      </c>
      <c r="C98" t="s">
        <v>109</v>
      </c>
      <c r="D98" s="8">
        <v>46180</v>
      </c>
      <c r="E98" t="s">
        <v>1651</v>
      </c>
      <c r="F98" t="s">
        <v>1844</v>
      </c>
      <c r="G98" s="6">
        <v>19709</v>
      </c>
      <c r="H98" t="s">
        <v>1656</v>
      </c>
      <c r="J98" s="8">
        <v>46195</v>
      </c>
      <c r="K98">
        <v>0</v>
      </c>
    </row>
    <row r="99" spans="1:11" x14ac:dyDescent="0.35">
      <c r="A99" t="s">
        <v>1845</v>
      </c>
      <c r="B99" t="s">
        <v>629</v>
      </c>
      <c r="C99" t="s">
        <v>165</v>
      </c>
      <c r="D99" s="8">
        <v>46155</v>
      </c>
      <c r="E99" t="s">
        <v>1651</v>
      </c>
      <c r="F99" t="s">
        <v>1846</v>
      </c>
      <c r="G99" s="6">
        <v>3424</v>
      </c>
      <c r="H99" t="s">
        <v>1656</v>
      </c>
      <c r="J99" s="8">
        <v>46160</v>
      </c>
      <c r="K99">
        <v>0</v>
      </c>
    </row>
    <row r="100" spans="1:11" x14ac:dyDescent="0.35">
      <c r="A100" t="s">
        <v>1847</v>
      </c>
      <c r="B100" t="s">
        <v>1076</v>
      </c>
      <c r="C100" t="s">
        <v>301</v>
      </c>
      <c r="D100" s="8">
        <v>46160</v>
      </c>
      <c r="E100" t="s">
        <v>1651</v>
      </c>
      <c r="F100" t="s">
        <v>1848</v>
      </c>
      <c r="G100" s="6">
        <v>18265</v>
      </c>
      <c r="H100" t="s">
        <v>1656</v>
      </c>
      <c r="J100" s="8">
        <v>46177</v>
      </c>
      <c r="K100">
        <v>0</v>
      </c>
    </row>
    <row r="101" spans="1:11" x14ac:dyDescent="0.35">
      <c r="A101" t="s">
        <v>1849</v>
      </c>
      <c r="B101" t="s">
        <v>913</v>
      </c>
      <c r="C101" t="s">
        <v>399</v>
      </c>
      <c r="D101" s="8">
        <v>46071</v>
      </c>
      <c r="E101" t="s">
        <v>1651</v>
      </c>
      <c r="F101" t="s">
        <v>1850</v>
      </c>
      <c r="G101" s="6">
        <v>3088</v>
      </c>
      <c r="H101" t="s">
        <v>1656</v>
      </c>
      <c r="J101" s="8">
        <v>46072</v>
      </c>
      <c r="K101">
        <v>0</v>
      </c>
    </row>
    <row r="102" spans="1:11" x14ac:dyDescent="0.35">
      <c r="A102" t="s">
        <v>1851</v>
      </c>
      <c r="B102" t="s">
        <v>1462</v>
      </c>
      <c r="C102" t="s">
        <v>351</v>
      </c>
      <c r="E102" t="s">
        <v>1651</v>
      </c>
      <c r="G102" s="6">
        <v>12188</v>
      </c>
      <c r="H102" t="s">
        <v>671</v>
      </c>
      <c r="I102" t="s">
        <v>1673</v>
      </c>
      <c r="J102" s="8">
        <v>46192</v>
      </c>
      <c r="K102">
        <v>0</v>
      </c>
    </row>
    <row r="103" spans="1:11" x14ac:dyDescent="0.35">
      <c r="A103" t="s">
        <v>1852</v>
      </c>
      <c r="B103" t="s">
        <v>1256</v>
      </c>
      <c r="C103" t="s">
        <v>210</v>
      </c>
      <c r="D103" s="8">
        <v>46104</v>
      </c>
      <c r="E103" t="s">
        <v>1651</v>
      </c>
      <c r="F103" t="s">
        <v>1853</v>
      </c>
      <c r="G103" s="6">
        <v>1318</v>
      </c>
      <c r="H103" t="s">
        <v>1656</v>
      </c>
      <c r="J103" s="8">
        <v>46117</v>
      </c>
      <c r="K103">
        <v>0</v>
      </c>
    </row>
    <row r="104" spans="1:11" x14ac:dyDescent="0.35">
      <c r="A104" t="s">
        <v>1854</v>
      </c>
      <c r="B104" t="s">
        <v>1092</v>
      </c>
      <c r="C104" t="s">
        <v>413</v>
      </c>
      <c r="D104" s="8">
        <v>46170</v>
      </c>
      <c r="E104" t="s">
        <v>1663</v>
      </c>
      <c r="F104" t="s">
        <v>1855</v>
      </c>
      <c r="G104" s="6">
        <v>5297</v>
      </c>
      <c r="H104" t="s">
        <v>1656</v>
      </c>
      <c r="J104" s="8">
        <v>46180</v>
      </c>
      <c r="K104">
        <v>0</v>
      </c>
    </row>
    <row r="105" spans="1:11" x14ac:dyDescent="0.35">
      <c r="A105" t="s">
        <v>1856</v>
      </c>
      <c r="B105" t="s">
        <v>1402</v>
      </c>
      <c r="C105" t="s">
        <v>260</v>
      </c>
      <c r="D105" s="8">
        <v>46072</v>
      </c>
      <c r="E105" t="s">
        <v>1651</v>
      </c>
      <c r="F105" t="s">
        <v>1857</v>
      </c>
      <c r="G105" s="6">
        <v>21410</v>
      </c>
      <c r="H105" t="s">
        <v>1656</v>
      </c>
      <c r="J105" s="8">
        <v>46073</v>
      </c>
      <c r="K105">
        <v>0</v>
      </c>
    </row>
    <row r="106" spans="1:11" x14ac:dyDescent="0.35">
      <c r="A106" t="s">
        <v>1858</v>
      </c>
      <c r="B106" t="s">
        <v>1050</v>
      </c>
      <c r="C106" t="s">
        <v>102</v>
      </c>
      <c r="D106" s="8">
        <v>46161</v>
      </c>
      <c r="E106" t="s">
        <v>1651</v>
      </c>
      <c r="F106" t="s">
        <v>1859</v>
      </c>
      <c r="G106" s="6">
        <v>18176</v>
      </c>
      <c r="H106" t="s">
        <v>1656</v>
      </c>
      <c r="J106" s="8">
        <v>46178</v>
      </c>
      <c r="K106">
        <v>0</v>
      </c>
    </row>
    <row r="107" spans="1:11" x14ac:dyDescent="0.35">
      <c r="A107" t="s">
        <v>1860</v>
      </c>
      <c r="B107" t="s">
        <v>971</v>
      </c>
      <c r="C107" t="s">
        <v>527</v>
      </c>
      <c r="E107" t="s">
        <v>1651</v>
      </c>
      <c r="G107" s="6">
        <v>13950</v>
      </c>
      <c r="H107" t="s">
        <v>1667</v>
      </c>
      <c r="I107" t="s">
        <v>1673</v>
      </c>
      <c r="J107" s="8">
        <v>46143</v>
      </c>
      <c r="K107">
        <v>27</v>
      </c>
    </row>
    <row r="108" spans="1:11" x14ac:dyDescent="0.35">
      <c r="A108" t="s">
        <v>1861</v>
      </c>
      <c r="B108" t="s">
        <v>1408</v>
      </c>
      <c r="C108" t="s">
        <v>161</v>
      </c>
      <c r="D108" s="8">
        <v>46058</v>
      </c>
      <c r="E108" t="s">
        <v>1651</v>
      </c>
      <c r="F108" t="s">
        <v>1862</v>
      </c>
      <c r="G108" s="6">
        <v>4844</v>
      </c>
      <c r="H108" t="s">
        <v>1656</v>
      </c>
      <c r="J108" s="8">
        <v>46058</v>
      </c>
      <c r="K108">
        <v>0</v>
      </c>
    </row>
    <row r="109" spans="1:11" x14ac:dyDescent="0.35">
      <c r="A109" t="s">
        <v>1863</v>
      </c>
      <c r="B109" t="s">
        <v>1494</v>
      </c>
      <c r="C109" t="s">
        <v>397</v>
      </c>
      <c r="E109" t="s">
        <v>1660</v>
      </c>
      <c r="G109" s="6">
        <v>20308</v>
      </c>
      <c r="H109" t="s">
        <v>1712</v>
      </c>
      <c r="I109" t="s">
        <v>1673</v>
      </c>
      <c r="J109" s="8">
        <v>46053</v>
      </c>
      <c r="K109">
        <v>117</v>
      </c>
    </row>
    <row r="110" spans="1:11" x14ac:dyDescent="0.35">
      <c r="A110" t="s">
        <v>1864</v>
      </c>
      <c r="B110" t="s">
        <v>967</v>
      </c>
      <c r="C110" t="s">
        <v>35</v>
      </c>
      <c r="D110" s="8">
        <v>46128</v>
      </c>
      <c r="E110" t="s">
        <v>1651</v>
      </c>
      <c r="F110" t="s">
        <v>1865</v>
      </c>
      <c r="G110" s="6">
        <v>6339</v>
      </c>
      <c r="H110" t="s">
        <v>1656</v>
      </c>
      <c r="J110" s="8">
        <v>46137</v>
      </c>
      <c r="K110">
        <v>0</v>
      </c>
    </row>
    <row r="111" spans="1:11" x14ac:dyDescent="0.35">
      <c r="A111" t="s">
        <v>1866</v>
      </c>
      <c r="B111" t="s">
        <v>1526</v>
      </c>
      <c r="C111" t="s">
        <v>135</v>
      </c>
      <c r="E111" t="s">
        <v>1660</v>
      </c>
      <c r="F111" t="s">
        <v>1867</v>
      </c>
      <c r="G111" s="6">
        <v>14563</v>
      </c>
      <c r="H111" t="s">
        <v>671</v>
      </c>
      <c r="I111" t="s">
        <v>1742</v>
      </c>
      <c r="J111" s="8">
        <v>46181</v>
      </c>
      <c r="K111">
        <v>0</v>
      </c>
    </row>
    <row r="112" spans="1:11" x14ac:dyDescent="0.35">
      <c r="A112" t="s">
        <v>1868</v>
      </c>
      <c r="B112" t="s">
        <v>1106</v>
      </c>
      <c r="C112" t="s">
        <v>190</v>
      </c>
      <c r="D112" s="8">
        <v>46055</v>
      </c>
      <c r="E112" t="s">
        <v>1651</v>
      </c>
      <c r="F112" t="s">
        <v>1869</v>
      </c>
      <c r="G112" s="6">
        <v>13910</v>
      </c>
      <c r="H112" t="s">
        <v>1653</v>
      </c>
      <c r="J112" s="8">
        <v>46057</v>
      </c>
      <c r="K112">
        <v>0</v>
      </c>
    </row>
    <row r="113" spans="1:11" x14ac:dyDescent="0.35">
      <c r="A113" t="s">
        <v>1870</v>
      </c>
      <c r="B113" t="s">
        <v>673</v>
      </c>
      <c r="C113" t="s">
        <v>193</v>
      </c>
      <c r="D113" s="8">
        <v>46183</v>
      </c>
      <c r="E113" t="s">
        <v>1651</v>
      </c>
      <c r="F113" t="s">
        <v>1871</v>
      </c>
      <c r="G113" s="6">
        <v>14659</v>
      </c>
      <c r="H113" t="s">
        <v>1656</v>
      </c>
      <c r="J113" s="8">
        <v>46194</v>
      </c>
      <c r="K113">
        <v>0</v>
      </c>
    </row>
    <row r="114" spans="1:11" x14ac:dyDescent="0.35">
      <c r="A114" t="s">
        <v>1872</v>
      </c>
      <c r="B114" t="s">
        <v>860</v>
      </c>
      <c r="C114" t="s">
        <v>298</v>
      </c>
      <c r="D114" s="8">
        <v>46181</v>
      </c>
      <c r="E114" t="s">
        <v>1651</v>
      </c>
      <c r="F114" t="s">
        <v>1873</v>
      </c>
      <c r="G114" s="6">
        <v>6626</v>
      </c>
      <c r="H114" t="s">
        <v>1656</v>
      </c>
      <c r="J114" s="8">
        <v>46186</v>
      </c>
      <c r="K114">
        <v>0</v>
      </c>
    </row>
    <row r="115" spans="1:11" x14ac:dyDescent="0.35">
      <c r="A115" t="s">
        <v>1874</v>
      </c>
      <c r="B115" t="s">
        <v>1278</v>
      </c>
      <c r="C115" t="s">
        <v>284</v>
      </c>
      <c r="D115" s="8">
        <v>46121</v>
      </c>
      <c r="E115" t="s">
        <v>1651</v>
      </c>
      <c r="F115" t="s">
        <v>1875</v>
      </c>
      <c r="G115" s="6">
        <v>6426</v>
      </c>
      <c r="H115" t="s">
        <v>1656</v>
      </c>
      <c r="J115" s="8">
        <v>46137</v>
      </c>
      <c r="K115">
        <v>0</v>
      </c>
    </row>
    <row r="116" spans="1:11" x14ac:dyDescent="0.35">
      <c r="A116" t="s">
        <v>1876</v>
      </c>
      <c r="B116" t="s">
        <v>1568</v>
      </c>
      <c r="C116" t="s">
        <v>120</v>
      </c>
      <c r="D116" s="8">
        <v>46118</v>
      </c>
      <c r="E116" t="s">
        <v>1651</v>
      </c>
      <c r="F116" t="s">
        <v>1877</v>
      </c>
      <c r="G116" s="6">
        <v>4083</v>
      </c>
      <c r="H116" t="s">
        <v>1656</v>
      </c>
      <c r="J116" s="8">
        <v>46145</v>
      </c>
      <c r="K116">
        <v>0</v>
      </c>
    </row>
    <row r="117" spans="1:11" x14ac:dyDescent="0.35">
      <c r="A117" t="s">
        <v>1878</v>
      </c>
      <c r="B117" t="s">
        <v>999</v>
      </c>
      <c r="C117" t="s">
        <v>372</v>
      </c>
      <c r="D117" s="8">
        <v>46050</v>
      </c>
      <c r="E117" t="s">
        <v>1651</v>
      </c>
      <c r="F117" t="s">
        <v>1879</v>
      </c>
      <c r="G117" s="6">
        <v>1236</v>
      </c>
      <c r="H117" t="s">
        <v>1656</v>
      </c>
      <c r="J117" s="8">
        <v>46067</v>
      </c>
      <c r="K117">
        <v>0</v>
      </c>
    </row>
    <row r="118" spans="1:11" x14ac:dyDescent="0.35">
      <c r="A118" t="s">
        <v>1880</v>
      </c>
      <c r="B118" t="s">
        <v>1320</v>
      </c>
      <c r="C118" t="s">
        <v>126</v>
      </c>
      <c r="D118" s="8">
        <v>46166</v>
      </c>
      <c r="E118" t="s">
        <v>1651</v>
      </c>
      <c r="F118" t="s">
        <v>1881</v>
      </c>
      <c r="G118" s="6">
        <v>18957</v>
      </c>
      <c r="H118" t="s">
        <v>1656</v>
      </c>
      <c r="J118" s="8">
        <v>46179</v>
      </c>
      <c r="K118">
        <v>0</v>
      </c>
    </row>
    <row r="119" spans="1:11" x14ac:dyDescent="0.35">
      <c r="A119" t="s">
        <v>1882</v>
      </c>
      <c r="B119" t="s">
        <v>1358</v>
      </c>
      <c r="C119" t="s">
        <v>252</v>
      </c>
      <c r="D119" s="8">
        <v>46099</v>
      </c>
      <c r="E119" t="s">
        <v>1651</v>
      </c>
      <c r="F119" t="s">
        <v>1883</v>
      </c>
      <c r="G119" s="6">
        <v>655</v>
      </c>
      <c r="H119" t="s">
        <v>1656</v>
      </c>
      <c r="J119" s="8">
        <v>46105</v>
      </c>
      <c r="K119">
        <v>0</v>
      </c>
    </row>
    <row r="120" spans="1:11" x14ac:dyDescent="0.35">
      <c r="A120" t="s">
        <v>1884</v>
      </c>
      <c r="B120" t="s">
        <v>1316</v>
      </c>
      <c r="C120" t="s">
        <v>410</v>
      </c>
      <c r="D120" s="8">
        <v>46132</v>
      </c>
      <c r="E120" t="s">
        <v>1660</v>
      </c>
      <c r="F120" t="s">
        <v>1885</v>
      </c>
      <c r="G120" s="6">
        <v>6683</v>
      </c>
      <c r="H120" t="s">
        <v>1653</v>
      </c>
      <c r="J120" s="8">
        <v>46155</v>
      </c>
      <c r="K120">
        <v>0</v>
      </c>
    </row>
    <row r="121" spans="1:11" x14ac:dyDescent="0.35">
      <c r="A121" t="s">
        <v>1886</v>
      </c>
      <c r="B121" t="s">
        <v>1178</v>
      </c>
      <c r="C121" t="s">
        <v>278</v>
      </c>
      <c r="E121" t="s">
        <v>1660</v>
      </c>
      <c r="G121" s="6">
        <v>14844</v>
      </c>
      <c r="H121" t="s">
        <v>1667</v>
      </c>
      <c r="I121" t="s">
        <v>1690</v>
      </c>
      <c r="J121" s="8">
        <v>46154</v>
      </c>
      <c r="K121">
        <v>16</v>
      </c>
    </row>
    <row r="122" spans="1:11" x14ac:dyDescent="0.35">
      <c r="A122" t="s">
        <v>1887</v>
      </c>
      <c r="B122" t="s">
        <v>947</v>
      </c>
      <c r="C122" t="s">
        <v>207</v>
      </c>
      <c r="D122" s="8">
        <v>46093</v>
      </c>
      <c r="E122" t="s">
        <v>1663</v>
      </c>
      <c r="F122" t="s">
        <v>1888</v>
      </c>
      <c r="G122" s="6">
        <v>2312</v>
      </c>
      <c r="H122" t="s">
        <v>1656</v>
      </c>
      <c r="J122" s="8">
        <v>46116</v>
      </c>
      <c r="K122">
        <v>0</v>
      </c>
    </row>
    <row r="123" spans="1:11" x14ac:dyDescent="0.35">
      <c r="A123" t="s">
        <v>1889</v>
      </c>
      <c r="B123" t="s">
        <v>779</v>
      </c>
      <c r="C123" t="s">
        <v>112</v>
      </c>
      <c r="D123" s="8">
        <v>46157</v>
      </c>
      <c r="E123" t="s">
        <v>1663</v>
      </c>
      <c r="F123" t="s">
        <v>1890</v>
      </c>
      <c r="G123" s="6">
        <v>4520</v>
      </c>
      <c r="H123" t="s">
        <v>1656</v>
      </c>
      <c r="J123" s="8">
        <v>46173</v>
      </c>
      <c r="K123">
        <v>0</v>
      </c>
    </row>
    <row r="124" spans="1:11" x14ac:dyDescent="0.35">
      <c r="A124" t="s">
        <v>1891</v>
      </c>
      <c r="B124" t="s">
        <v>1194</v>
      </c>
      <c r="C124" t="s">
        <v>193</v>
      </c>
      <c r="D124" s="8">
        <v>46119</v>
      </c>
      <c r="E124" t="s">
        <v>1651</v>
      </c>
      <c r="F124" t="s">
        <v>1892</v>
      </c>
      <c r="G124" s="6">
        <v>18810</v>
      </c>
      <c r="H124" t="s">
        <v>1656</v>
      </c>
      <c r="J124" s="8">
        <v>46131</v>
      </c>
      <c r="K124">
        <v>0</v>
      </c>
    </row>
    <row r="125" spans="1:11" x14ac:dyDescent="0.35">
      <c r="A125" t="s">
        <v>1893</v>
      </c>
      <c r="B125" t="s">
        <v>1214</v>
      </c>
      <c r="C125" t="s">
        <v>399</v>
      </c>
      <c r="D125" s="8">
        <v>46148</v>
      </c>
      <c r="E125" t="s">
        <v>1651</v>
      </c>
      <c r="F125" t="s">
        <v>1894</v>
      </c>
      <c r="G125" s="6">
        <v>10601</v>
      </c>
      <c r="H125" t="s">
        <v>1656</v>
      </c>
      <c r="J125" s="8">
        <v>46144</v>
      </c>
      <c r="K125">
        <v>0</v>
      </c>
    </row>
    <row r="126" spans="1:11" x14ac:dyDescent="0.35">
      <c r="A126" t="s">
        <v>1895</v>
      </c>
      <c r="B126" t="s">
        <v>1066</v>
      </c>
      <c r="C126" t="s">
        <v>319</v>
      </c>
      <c r="D126" s="8">
        <v>46072</v>
      </c>
      <c r="E126" t="s">
        <v>1651</v>
      </c>
      <c r="F126" t="s">
        <v>1896</v>
      </c>
      <c r="G126" s="6">
        <v>7188</v>
      </c>
      <c r="H126" t="s">
        <v>1656</v>
      </c>
      <c r="J126" s="8">
        <v>46079</v>
      </c>
      <c r="K126">
        <v>0</v>
      </c>
    </row>
    <row r="127" spans="1:11" x14ac:dyDescent="0.35">
      <c r="A127" t="s">
        <v>1897</v>
      </c>
      <c r="B127" t="s">
        <v>1204</v>
      </c>
      <c r="C127" t="s">
        <v>158</v>
      </c>
      <c r="D127" s="8">
        <v>46156</v>
      </c>
      <c r="E127" t="s">
        <v>1651</v>
      </c>
      <c r="F127" t="s">
        <v>1898</v>
      </c>
      <c r="G127" s="6">
        <v>7057</v>
      </c>
      <c r="H127" t="s">
        <v>1656</v>
      </c>
      <c r="J127" s="8">
        <v>46182</v>
      </c>
      <c r="K127">
        <v>0</v>
      </c>
    </row>
    <row r="128" spans="1:11" x14ac:dyDescent="0.35">
      <c r="A128" t="s">
        <v>1899</v>
      </c>
      <c r="B128" t="s">
        <v>1566</v>
      </c>
      <c r="C128" t="s">
        <v>501</v>
      </c>
      <c r="D128" s="8">
        <v>46156</v>
      </c>
      <c r="E128" t="s">
        <v>1651</v>
      </c>
      <c r="F128" t="s">
        <v>1900</v>
      </c>
      <c r="G128" s="6">
        <v>6333</v>
      </c>
      <c r="H128" t="s">
        <v>1656</v>
      </c>
      <c r="J128" s="8">
        <v>46157</v>
      </c>
      <c r="K128">
        <v>0</v>
      </c>
    </row>
    <row r="129" spans="1:11" x14ac:dyDescent="0.35">
      <c r="A129" t="s">
        <v>1901</v>
      </c>
      <c r="B129" t="s">
        <v>645</v>
      </c>
      <c r="C129" t="s">
        <v>460</v>
      </c>
      <c r="D129" s="8">
        <v>46089</v>
      </c>
      <c r="E129" t="s">
        <v>1651</v>
      </c>
      <c r="F129" t="s">
        <v>1902</v>
      </c>
      <c r="G129" s="6">
        <v>13362</v>
      </c>
      <c r="H129" t="s">
        <v>1656</v>
      </c>
      <c r="J129" s="8">
        <v>46102</v>
      </c>
      <c r="K129">
        <v>0</v>
      </c>
    </row>
    <row r="130" spans="1:11" x14ac:dyDescent="0.35">
      <c r="A130" t="s">
        <v>1903</v>
      </c>
      <c r="B130" t="s">
        <v>1082</v>
      </c>
      <c r="C130" t="s">
        <v>193</v>
      </c>
      <c r="D130" s="8">
        <v>46141</v>
      </c>
      <c r="E130" t="s">
        <v>1651</v>
      </c>
      <c r="F130" t="s">
        <v>1904</v>
      </c>
      <c r="G130" s="6">
        <v>9614</v>
      </c>
      <c r="H130" t="s">
        <v>1656</v>
      </c>
      <c r="J130" s="8">
        <v>46156</v>
      </c>
      <c r="K130">
        <v>0</v>
      </c>
    </row>
    <row r="131" spans="1:11" x14ac:dyDescent="0.35">
      <c r="A131" t="s">
        <v>1905</v>
      </c>
      <c r="B131" t="s">
        <v>1240</v>
      </c>
      <c r="C131" t="s">
        <v>72</v>
      </c>
      <c r="D131" s="8">
        <v>46039</v>
      </c>
      <c r="E131" t="s">
        <v>1651</v>
      </c>
      <c r="F131" t="s">
        <v>1906</v>
      </c>
      <c r="G131" s="6">
        <v>19984</v>
      </c>
      <c r="H131" t="s">
        <v>1656</v>
      </c>
      <c r="J131" s="8">
        <v>46055</v>
      </c>
      <c r="K131">
        <v>0</v>
      </c>
    </row>
    <row r="132" spans="1:11" x14ac:dyDescent="0.35">
      <c r="A132" t="s">
        <v>1907</v>
      </c>
      <c r="B132" t="s">
        <v>1378</v>
      </c>
      <c r="C132" t="s">
        <v>218</v>
      </c>
      <c r="E132" t="s">
        <v>1651</v>
      </c>
      <c r="G132" s="6">
        <v>17691</v>
      </c>
      <c r="H132" t="s">
        <v>671</v>
      </c>
      <c r="I132" t="s">
        <v>1742</v>
      </c>
      <c r="J132" s="8">
        <v>46115</v>
      </c>
      <c r="K132">
        <v>55</v>
      </c>
    </row>
    <row r="133" spans="1:11" x14ac:dyDescent="0.35">
      <c r="A133" t="s">
        <v>1908</v>
      </c>
      <c r="B133" t="s">
        <v>1406</v>
      </c>
      <c r="C133" t="s">
        <v>539</v>
      </c>
      <c r="D133" s="8">
        <v>46100</v>
      </c>
      <c r="E133" t="s">
        <v>1651</v>
      </c>
      <c r="F133" t="s">
        <v>1909</v>
      </c>
      <c r="G133" s="6">
        <v>9981</v>
      </c>
      <c r="H133" t="s">
        <v>1656</v>
      </c>
      <c r="J133" s="8">
        <v>46115</v>
      </c>
      <c r="K133">
        <v>0</v>
      </c>
    </row>
    <row r="134" spans="1:11" x14ac:dyDescent="0.35">
      <c r="A134" t="s">
        <v>1910</v>
      </c>
      <c r="B134" t="s">
        <v>1202</v>
      </c>
      <c r="C134" t="s">
        <v>501</v>
      </c>
      <c r="D134" s="8">
        <v>46107</v>
      </c>
      <c r="E134" t="s">
        <v>1651</v>
      </c>
      <c r="F134" t="s">
        <v>1911</v>
      </c>
      <c r="G134" s="6">
        <v>999</v>
      </c>
      <c r="H134" t="s">
        <v>1656</v>
      </c>
      <c r="J134" s="8">
        <v>46114</v>
      </c>
      <c r="K134">
        <v>0</v>
      </c>
    </row>
    <row r="135" spans="1:11" x14ac:dyDescent="0.35">
      <c r="A135" t="s">
        <v>1912</v>
      </c>
      <c r="B135" t="s">
        <v>1274</v>
      </c>
      <c r="C135" t="s">
        <v>174</v>
      </c>
      <c r="D135" s="8">
        <v>46046</v>
      </c>
      <c r="E135" t="s">
        <v>1651</v>
      </c>
      <c r="F135" t="s">
        <v>1913</v>
      </c>
      <c r="G135" s="6">
        <v>340</v>
      </c>
      <c r="H135" t="s">
        <v>1656</v>
      </c>
      <c r="J135" s="8">
        <v>46050</v>
      </c>
      <c r="K135">
        <v>0</v>
      </c>
    </row>
    <row r="136" spans="1:11" x14ac:dyDescent="0.35">
      <c r="A136" t="s">
        <v>1914</v>
      </c>
      <c r="B136" t="s">
        <v>1344</v>
      </c>
      <c r="C136" t="s">
        <v>90</v>
      </c>
      <c r="D136" s="8">
        <v>46174</v>
      </c>
      <c r="E136" t="s">
        <v>1651</v>
      </c>
      <c r="F136" t="s">
        <v>1915</v>
      </c>
      <c r="G136" s="6">
        <v>9254</v>
      </c>
      <c r="H136" t="s">
        <v>1653</v>
      </c>
      <c r="J136" s="8">
        <v>46182</v>
      </c>
      <c r="K136">
        <v>0</v>
      </c>
    </row>
    <row r="137" spans="1:11" x14ac:dyDescent="0.35">
      <c r="A137" t="s">
        <v>1916</v>
      </c>
      <c r="B137" t="s">
        <v>1422</v>
      </c>
      <c r="C137" t="s">
        <v>255</v>
      </c>
      <c r="E137" t="s">
        <v>1651</v>
      </c>
      <c r="G137" s="6">
        <v>21277</v>
      </c>
      <c r="H137" t="s">
        <v>1712</v>
      </c>
      <c r="I137" t="s">
        <v>1690</v>
      </c>
      <c r="J137" s="8">
        <v>46167</v>
      </c>
      <c r="K137">
        <v>3</v>
      </c>
    </row>
    <row r="138" spans="1:11" x14ac:dyDescent="0.35">
      <c r="A138" t="s">
        <v>1917</v>
      </c>
      <c r="B138" t="s">
        <v>1206</v>
      </c>
      <c r="C138" t="s">
        <v>493</v>
      </c>
      <c r="D138" s="8">
        <v>46058</v>
      </c>
      <c r="E138" t="s">
        <v>1663</v>
      </c>
      <c r="F138" t="s">
        <v>1918</v>
      </c>
      <c r="G138" s="6">
        <v>7904</v>
      </c>
      <c r="H138" t="s">
        <v>1656</v>
      </c>
      <c r="J138" s="8">
        <v>46063</v>
      </c>
      <c r="K138">
        <v>0</v>
      </c>
    </row>
    <row r="139" spans="1:11" x14ac:dyDescent="0.35">
      <c r="A139" t="s">
        <v>1919</v>
      </c>
      <c r="B139" t="s">
        <v>1186</v>
      </c>
      <c r="C139" t="s">
        <v>473</v>
      </c>
      <c r="D139" s="8">
        <v>46076</v>
      </c>
      <c r="E139" t="s">
        <v>1651</v>
      </c>
      <c r="F139" t="s">
        <v>1920</v>
      </c>
      <c r="G139" s="6">
        <v>11746</v>
      </c>
      <c r="H139" t="s">
        <v>1656</v>
      </c>
      <c r="J139" s="8">
        <v>46076</v>
      </c>
      <c r="K139">
        <v>0</v>
      </c>
    </row>
    <row r="140" spans="1:11" x14ac:dyDescent="0.35">
      <c r="A140" t="s">
        <v>1921</v>
      </c>
      <c r="B140" t="s">
        <v>781</v>
      </c>
      <c r="C140" t="s">
        <v>348</v>
      </c>
      <c r="D140" s="8">
        <v>46183</v>
      </c>
      <c r="E140" t="s">
        <v>1651</v>
      </c>
      <c r="F140" t="s">
        <v>1922</v>
      </c>
      <c r="G140" s="6">
        <v>11806</v>
      </c>
      <c r="H140" t="s">
        <v>1656</v>
      </c>
      <c r="J140" s="8">
        <v>46184</v>
      </c>
      <c r="K140">
        <v>0</v>
      </c>
    </row>
    <row r="141" spans="1:11" x14ac:dyDescent="0.35">
      <c r="A141" t="s">
        <v>1923</v>
      </c>
      <c r="B141" t="s">
        <v>839</v>
      </c>
      <c r="C141" t="s">
        <v>399</v>
      </c>
      <c r="D141" s="8">
        <v>46102</v>
      </c>
      <c r="E141" t="s">
        <v>1651</v>
      </c>
      <c r="F141" t="s">
        <v>1924</v>
      </c>
      <c r="G141" s="6">
        <v>6626</v>
      </c>
      <c r="H141" t="s">
        <v>1656</v>
      </c>
      <c r="J141" s="8">
        <v>46109</v>
      </c>
      <c r="K141">
        <v>0</v>
      </c>
    </row>
    <row r="142" spans="1:11" x14ac:dyDescent="0.35">
      <c r="A142" t="s">
        <v>1925</v>
      </c>
      <c r="B142" t="s">
        <v>1454</v>
      </c>
      <c r="C142" t="s">
        <v>284</v>
      </c>
      <c r="D142" s="8">
        <v>46166</v>
      </c>
      <c r="E142" t="s">
        <v>1651</v>
      </c>
      <c r="F142" t="s">
        <v>1926</v>
      </c>
      <c r="G142" s="6">
        <v>9103</v>
      </c>
      <c r="H142" t="s">
        <v>1656</v>
      </c>
      <c r="J142" s="8">
        <v>46187</v>
      </c>
      <c r="K142">
        <v>0</v>
      </c>
    </row>
    <row r="143" spans="1:11" x14ac:dyDescent="0.35">
      <c r="A143" t="s">
        <v>1927</v>
      </c>
      <c r="B143" t="s">
        <v>1084</v>
      </c>
      <c r="C143" t="s">
        <v>418</v>
      </c>
      <c r="E143" t="s">
        <v>1651</v>
      </c>
      <c r="G143" s="6">
        <v>17643</v>
      </c>
      <c r="H143" t="s">
        <v>671</v>
      </c>
      <c r="I143" t="s">
        <v>1673</v>
      </c>
      <c r="J143" s="8">
        <v>46057</v>
      </c>
      <c r="K143">
        <v>113</v>
      </c>
    </row>
    <row r="144" spans="1:11" x14ac:dyDescent="0.35">
      <c r="A144" t="s">
        <v>1928</v>
      </c>
      <c r="B144" t="s">
        <v>1030</v>
      </c>
      <c r="C144" t="s">
        <v>252</v>
      </c>
      <c r="D144" s="8">
        <v>46170</v>
      </c>
      <c r="E144" t="s">
        <v>1651</v>
      </c>
      <c r="F144" t="s">
        <v>1929</v>
      </c>
      <c r="G144" s="6">
        <v>548</v>
      </c>
      <c r="H144" t="s">
        <v>1656</v>
      </c>
      <c r="J144" s="8">
        <v>46195</v>
      </c>
      <c r="K144">
        <v>0</v>
      </c>
    </row>
    <row r="145" spans="1:11" x14ac:dyDescent="0.35">
      <c r="A145" t="s">
        <v>1930</v>
      </c>
      <c r="B145" t="s">
        <v>977</v>
      </c>
      <c r="C145" t="s">
        <v>301</v>
      </c>
      <c r="D145" s="8">
        <v>46038</v>
      </c>
      <c r="E145" t="s">
        <v>1663</v>
      </c>
      <c r="F145" t="s">
        <v>1931</v>
      </c>
      <c r="G145" s="6">
        <v>20253</v>
      </c>
      <c r="H145" t="s">
        <v>1656</v>
      </c>
      <c r="J145" s="8">
        <v>46045</v>
      </c>
      <c r="K145">
        <v>0</v>
      </c>
    </row>
    <row r="146" spans="1:11" x14ac:dyDescent="0.35">
      <c r="A146" t="s">
        <v>1932</v>
      </c>
      <c r="B146" t="s">
        <v>891</v>
      </c>
      <c r="C146" t="s">
        <v>360</v>
      </c>
      <c r="D146" s="8">
        <v>46139</v>
      </c>
      <c r="E146" t="s">
        <v>1651</v>
      </c>
      <c r="F146" t="s">
        <v>1933</v>
      </c>
      <c r="G146" s="6">
        <v>6170</v>
      </c>
      <c r="H146" t="s">
        <v>1656</v>
      </c>
      <c r="J146" s="8">
        <v>46140</v>
      </c>
      <c r="K146">
        <v>0</v>
      </c>
    </row>
    <row r="147" spans="1:11" x14ac:dyDescent="0.35">
      <c r="A147" t="s">
        <v>1934</v>
      </c>
      <c r="B147" t="s">
        <v>1240</v>
      </c>
      <c r="C147" t="s">
        <v>458</v>
      </c>
      <c r="D147" s="8">
        <v>46124</v>
      </c>
      <c r="E147" t="s">
        <v>1651</v>
      </c>
      <c r="F147" t="s">
        <v>1935</v>
      </c>
      <c r="G147" s="6">
        <v>3430</v>
      </c>
      <c r="H147" t="s">
        <v>1656</v>
      </c>
      <c r="J147" s="8">
        <v>46141</v>
      </c>
      <c r="K147">
        <v>0</v>
      </c>
    </row>
    <row r="148" spans="1:11" x14ac:dyDescent="0.35">
      <c r="A148" t="s">
        <v>1936</v>
      </c>
      <c r="B148" t="s">
        <v>733</v>
      </c>
      <c r="C148" t="s">
        <v>224</v>
      </c>
      <c r="D148" s="8">
        <v>46086</v>
      </c>
      <c r="E148" t="s">
        <v>1651</v>
      </c>
      <c r="F148" t="s">
        <v>1937</v>
      </c>
      <c r="G148" s="6">
        <v>4048</v>
      </c>
      <c r="H148" t="s">
        <v>1656</v>
      </c>
      <c r="J148" s="8">
        <v>46110</v>
      </c>
      <c r="K148">
        <v>0</v>
      </c>
    </row>
    <row r="149" spans="1:11" x14ac:dyDescent="0.35">
      <c r="A149" t="s">
        <v>1938</v>
      </c>
      <c r="B149" t="s">
        <v>1200</v>
      </c>
      <c r="C149" t="s">
        <v>183</v>
      </c>
      <c r="D149" s="8">
        <v>46163</v>
      </c>
      <c r="E149" t="s">
        <v>1651</v>
      </c>
      <c r="F149" t="s">
        <v>1939</v>
      </c>
      <c r="G149" s="6">
        <v>16805</v>
      </c>
      <c r="H149" t="s">
        <v>1656</v>
      </c>
      <c r="J149" s="8">
        <v>46177</v>
      </c>
      <c r="K149">
        <v>0</v>
      </c>
    </row>
    <row r="150" spans="1:11" x14ac:dyDescent="0.35">
      <c r="A150" t="s">
        <v>1940</v>
      </c>
      <c r="B150" t="s">
        <v>1558</v>
      </c>
      <c r="C150" t="s">
        <v>468</v>
      </c>
      <c r="D150" s="8">
        <v>46172</v>
      </c>
      <c r="E150" t="s">
        <v>1651</v>
      </c>
      <c r="F150" t="s">
        <v>1941</v>
      </c>
      <c r="G150" s="6">
        <v>5072</v>
      </c>
      <c r="H150" t="s">
        <v>1656</v>
      </c>
      <c r="J150" s="8">
        <v>46191</v>
      </c>
      <c r="K150">
        <v>0</v>
      </c>
    </row>
    <row r="151" spans="1:11" x14ac:dyDescent="0.35">
      <c r="A151" t="s">
        <v>1942</v>
      </c>
      <c r="B151" t="s">
        <v>1482</v>
      </c>
      <c r="C151" t="s">
        <v>539</v>
      </c>
      <c r="E151" t="s">
        <v>1651</v>
      </c>
      <c r="G151" s="6">
        <v>20590</v>
      </c>
      <c r="H151" t="s">
        <v>671</v>
      </c>
      <c r="I151" t="s">
        <v>1693</v>
      </c>
      <c r="J151" s="8">
        <v>46172</v>
      </c>
      <c r="K151">
        <v>0</v>
      </c>
    </row>
    <row r="152" spans="1:11" x14ac:dyDescent="0.35">
      <c r="A152" t="s">
        <v>1943</v>
      </c>
      <c r="B152" t="s">
        <v>858</v>
      </c>
      <c r="C152" t="s">
        <v>90</v>
      </c>
      <c r="D152" s="8">
        <v>46122</v>
      </c>
      <c r="E152" t="s">
        <v>1651</v>
      </c>
      <c r="F152" t="s">
        <v>1944</v>
      </c>
      <c r="G152" s="6">
        <v>12126</v>
      </c>
      <c r="H152" t="s">
        <v>1656</v>
      </c>
      <c r="J152" s="8">
        <v>46118</v>
      </c>
      <c r="K152">
        <v>0</v>
      </c>
    </row>
    <row r="153" spans="1:11" x14ac:dyDescent="0.35">
      <c r="A153" t="s">
        <v>1945</v>
      </c>
      <c r="B153" t="s">
        <v>1090</v>
      </c>
      <c r="C153" t="s">
        <v>227</v>
      </c>
      <c r="D153" s="8">
        <v>46182</v>
      </c>
      <c r="E153" t="s">
        <v>1651</v>
      </c>
      <c r="F153" t="s">
        <v>1946</v>
      </c>
      <c r="G153" s="6">
        <v>10353</v>
      </c>
      <c r="H153" t="s">
        <v>1656</v>
      </c>
      <c r="J153" s="8">
        <v>46176</v>
      </c>
      <c r="K153">
        <v>0</v>
      </c>
    </row>
    <row r="154" spans="1:11" x14ac:dyDescent="0.35">
      <c r="A154" t="s">
        <v>1947</v>
      </c>
      <c r="B154" t="s">
        <v>1586</v>
      </c>
      <c r="C154" t="s">
        <v>445</v>
      </c>
      <c r="D154" s="8">
        <v>46072</v>
      </c>
      <c r="E154" t="s">
        <v>1660</v>
      </c>
      <c r="F154" t="s">
        <v>1948</v>
      </c>
      <c r="G154" s="6">
        <v>527</v>
      </c>
      <c r="H154" t="s">
        <v>1656</v>
      </c>
      <c r="J154" s="8">
        <v>46099</v>
      </c>
      <c r="K154">
        <v>0</v>
      </c>
    </row>
    <row r="155" spans="1:11" x14ac:dyDescent="0.35">
      <c r="A155" t="s">
        <v>1949</v>
      </c>
      <c r="B155" t="s">
        <v>623</v>
      </c>
      <c r="C155" t="s">
        <v>513</v>
      </c>
      <c r="D155" s="8">
        <v>46108</v>
      </c>
      <c r="E155" t="s">
        <v>1651</v>
      </c>
      <c r="F155" t="s">
        <v>1950</v>
      </c>
      <c r="G155" s="6">
        <v>18962</v>
      </c>
      <c r="H155" t="s">
        <v>1656</v>
      </c>
      <c r="J155" s="8">
        <v>46109</v>
      </c>
      <c r="K155">
        <v>0</v>
      </c>
    </row>
    <row r="156" spans="1:11" x14ac:dyDescent="0.35">
      <c r="A156" t="s">
        <v>1951</v>
      </c>
      <c r="B156" t="s">
        <v>797</v>
      </c>
      <c r="C156" t="s">
        <v>351</v>
      </c>
      <c r="D156" s="8">
        <v>46184</v>
      </c>
      <c r="E156" t="s">
        <v>1660</v>
      </c>
      <c r="F156" t="s">
        <v>1952</v>
      </c>
      <c r="G156" s="6">
        <v>5780</v>
      </c>
      <c r="H156" t="s">
        <v>1656</v>
      </c>
      <c r="J156" s="8">
        <v>46185</v>
      </c>
      <c r="K156">
        <v>0</v>
      </c>
    </row>
    <row r="157" spans="1:11" x14ac:dyDescent="0.35">
      <c r="A157" t="s">
        <v>1953</v>
      </c>
      <c r="B157" t="s">
        <v>967</v>
      </c>
      <c r="C157" t="s">
        <v>126</v>
      </c>
      <c r="D157" s="8">
        <v>46126</v>
      </c>
      <c r="E157" t="s">
        <v>1651</v>
      </c>
      <c r="F157" t="s">
        <v>1954</v>
      </c>
      <c r="G157" s="6">
        <v>10356</v>
      </c>
      <c r="H157" t="s">
        <v>1656</v>
      </c>
      <c r="J157" s="8">
        <v>46143</v>
      </c>
      <c r="K157">
        <v>0</v>
      </c>
    </row>
    <row r="158" spans="1:11" x14ac:dyDescent="0.35">
      <c r="A158" t="s">
        <v>1955</v>
      </c>
      <c r="B158" t="s">
        <v>957</v>
      </c>
      <c r="C158" t="s">
        <v>201</v>
      </c>
      <c r="E158" t="s">
        <v>1651</v>
      </c>
      <c r="F158" t="s">
        <v>1956</v>
      </c>
      <c r="G158" s="6">
        <v>16518</v>
      </c>
      <c r="H158" t="s">
        <v>1667</v>
      </c>
      <c r="I158" t="s">
        <v>1704</v>
      </c>
      <c r="J158" s="8">
        <v>46149</v>
      </c>
      <c r="K158">
        <v>21</v>
      </c>
    </row>
    <row r="159" spans="1:11" x14ac:dyDescent="0.35">
      <c r="A159" t="s">
        <v>1957</v>
      </c>
      <c r="B159" t="s">
        <v>847</v>
      </c>
      <c r="C159" t="s">
        <v>252</v>
      </c>
      <c r="E159" t="s">
        <v>1660</v>
      </c>
      <c r="G159" s="6">
        <v>17045</v>
      </c>
      <c r="H159" t="s">
        <v>1712</v>
      </c>
      <c r="I159" t="s">
        <v>1668</v>
      </c>
      <c r="J159" s="8">
        <v>46081</v>
      </c>
      <c r="K159">
        <v>89</v>
      </c>
    </row>
    <row r="160" spans="1:11" x14ac:dyDescent="0.35">
      <c r="A160" t="s">
        <v>1958</v>
      </c>
      <c r="B160" t="s">
        <v>815</v>
      </c>
      <c r="C160" t="s">
        <v>161</v>
      </c>
      <c r="D160" s="8">
        <v>46174</v>
      </c>
      <c r="E160" t="s">
        <v>1651</v>
      </c>
      <c r="F160" t="s">
        <v>1959</v>
      </c>
      <c r="G160" s="6">
        <v>1255</v>
      </c>
      <c r="H160" t="s">
        <v>1653</v>
      </c>
      <c r="J160" s="8">
        <v>46175</v>
      </c>
      <c r="K160">
        <v>0</v>
      </c>
    </row>
    <row r="161" spans="1:11" x14ac:dyDescent="0.35">
      <c r="A161" t="s">
        <v>1960</v>
      </c>
      <c r="B161" t="s">
        <v>1560</v>
      </c>
      <c r="C161" t="s">
        <v>336</v>
      </c>
      <c r="D161" s="8">
        <v>46167</v>
      </c>
      <c r="E161" t="s">
        <v>1651</v>
      </c>
      <c r="F161" t="s">
        <v>1961</v>
      </c>
      <c r="G161" s="6">
        <v>8755</v>
      </c>
      <c r="H161" t="s">
        <v>1656</v>
      </c>
      <c r="J161" s="8">
        <v>46161</v>
      </c>
      <c r="K161">
        <v>0</v>
      </c>
    </row>
    <row r="162" spans="1:11" x14ac:dyDescent="0.35">
      <c r="A162" t="s">
        <v>1962</v>
      </c>
      <c r="B162" t="s">
        <v>985</v>
      </c>
      <c r="C162" t="s">
        <v>196</v>
      </c>
      <c r="D162" s="8">
        <v>46098</v>
      </c>
      <c r="E162" t="s">
        <v>1660</v>
      </c>
      <c r="F162" t="s">
        <v>1963</v>
      </c>
      <c r="G162" s="6">
        <v>13997</v>
      </c>
      <c r="H162" t="s">
        <v>1656</v>
      </c>
      <c r="J162" s="8">
        <v>46110</v>
      </c>
      <c r="K162">
        <v>0</v>
      </c>
    </row>
    <row r="163" spans="1:11" x14ac:dyDescent="0.35">
      <c r="A163" t="s">
        <v>1964</v>
      </c>
      <c r="B163" t="s">
        <v>1356</v>
      </c>
      <c r="C163" t="s">
        <v>237</v>
      </c>
      <c r="D163" s="8">
        <v>46072</v>
      </c>
      <c r="E163" t="s">
        <v>1663</v>
      </c>
      <c r="F163" t="s">
        <v>1965</v>
      </c>
      <c r="G163" s="6">
        <v>4329</v>
      </c>
      <c r="H163" t="s">
        <v>1656</v>
      </c>
      <c r="J163" s="8">
        <v>46082</v>
      </c>
      <c r="K163">
        <v>0</v>
      </c>
    </row>
    <row r="164" spans="1:11" x14ac:dyDescent="0.35">
      <c r="A164" t="s">
        <v>1966</v>
      </c>
      <c r="B164" t="s">
        <v>1224</v>
      </c>
      <c r="C164" t="s">
        <v>48</v>
      </c>
      <c r="D164" s="8">
        <v>46089</v>
      </c>
      <c r="E164" t="s">
        <v>1651</v>
      </c>
      <c r="F164" t="s">
        <v>1967</v>
      </c>
      <c r="G164" s="6">
        <v>15187</v>
      </c>
      <c r="H164" t="s">
        <v>1656</v>
      </c>
      <c r="J164" s="8">
        <v>46087</v>
      </c>
      <c r="K164">
        <v>0</v>
      </c>
    </row>
    <row r="165" spans="1:11" x14ac:dyDescent="0.35">
      <c r="A165" t="s">
        <v>1968</v>
      </c>
      <c r="B165" t="s">
        <v>609</v>
      </c>
      <c r="C165" t="s">
        <v>322</v>
      </c>
      <c r="D165" s="8">
        <v>46120</v>
      </c>
      <c r="E165" t="s">
        <v>1651</v>
      </c>
      <c r="F165" t="s">
        <v>1969</v>
      </c>
      <c r="G165" s="6">
        <v>11578</v>
      </c>
      <c r="H165" t="s">
        <v>1656</v>
      </c>
      <c r="J165" s="8">
        <v>46124</v>
      </c>
      <c r="K165">
        <v>0</v>
      </c>
    </row>
    <row r="166" spans="1:11" x14ac:dyDescent="0.35">
      <c r="A166" t="s">
        <v>1970</v>
      </c>
      <c r="B166" t="s">
        <v>711</v>
      </c>
      <c r="C166" t="s">
        <v>72</v>
      </c>
      <c r="D166" s="8">
        <v>46124</v>
      </c>
      <c r="E166" t="s">
        <v>1651</v>
      </c>
      <c r="F166" t="s">
        <v>1971</v>
      </c>
      <c r="G166" s="6">
        <v>16083</v>
      </c>
      <c r="H166" t="s">
        <v>1656</v>
      </c>
      <c r="J166" s="8">
        <v>46138</v>
      </c>
      <c r="K166">
        <v>0</v>
      </c>
    </row>
    <row r="167" spans="1:11" x14ac:dyDescent="0.35">
      <c r="A167" t="s">
        <v>1972</v>
      </c>
      <c r="B167" t="s">
        <v>1294</v>
      </c>
      <c r="C167" t="s">
        <v>313</v>
      </c>
      <c r="D167" s="8">
        <v>46038</v>
      </c>
      <c r="E167" t="s">
        <v>1651</v>
      </c>
      <c r="F167" t="s">
        <v>1973</v>
      </c>
      <c r="G167" s="6">
        <v>12128</v>
      </c>
      <c r="H167" t="s">
        <v>1656</v>
      </c>
      <c r="J167" s="8">
        <v>46049</v>
      </c>
      <c r="K167">
        <v>0</v>
      </c>
    </row>
    <row r="168" spans="1:11" x14ac:dyDescent="0.35">
      <c r="A168" t="s">
        <v>1974</v>
      </c>
      <c r="B168" t="s">
        <v>1044</v>
      </c>
      <c r="C168" t="s">
        <v>427</v>
      </c>
      <c r="D168" s="8">
        <v>46172</v>
      </c>
      <c r="E168" t="s">
        <v>1651</v>
      </c>
      <c r="F168" t="s">
        <v>1975</v>
      </c>
      <c r="G168" s="6">
        <v>10246</v>
      </c>
      <c r="H168" t="s">
        <v>1656</v>
      </c>
      <c r="J168" s="8">
        <v>46176</v>
      </c>
      <c r="K168">
        <v>0</v>
      </c>
    </row>
    <row r="169" spans="1:11" x14ac:dyDescent="0.35">
      <c r="A169" t="s">
        <v>1976</v>
      </c>
      <c r="B169" t="s">
        <v>1534</v>
      </c>
      <c r="C169" t="s">
        <v>180</v>
      </c>
      <c r="D169" s="8">
        <v>46168</v>
      </c>
      <c r="E169" t="s">
        <v>1660</v>
      </c>
      <c r="F169" t="s">
        <v>1977</v>
      </c>
      <c r="G169" s="6">
        <v>13863</v>
      </c>
      <c r="H169" t="s">
        <v>1656</v>
      </c>
      <c r="J169" s="8">
        <v>46186</v>
      </c>
      <c r="K169">
        <v>0</v>
      </c>
    </row>
    <row r="170" spans="1:11" x14ac:dyDescent="0.35">
      <c r="A170" t="s">
        <v>1978</v>
      </c>
      <c r="B170" t="s">
        <v>1432</v>
      </c>
      <c r="C170" t="s">
        <v>501</v>
      </c>
      <c r="D170" s="8">
        <v>46147</v>
      </c>
      <c r="E170" t="s">
        <v>1663</v>
      </c>
      <c r="F170" t="s">
        <v>1979</v>
      </c>
      <c r="G170" s="6">
        <v>15426</v>
      </c>
      <c r="H170" t="s">
        <v>1656</v>
      </c>
      <c r="J170" s="8">
        <v>46151</v>
      </c>
      <c r="K170">
        <v>0</v>
      </c>
    </row>
    <row r="171" spans="1:11" x14ac:dyDescent="0.35">
      <c r="A171" t="s">
        <v>1980</v>
      </c>
      <c r="B171" t="s">
        <v>1478</v>
      </c>
      <c r="C171" t="s">
        <v>255</v>
      </c>
      <c r="D171" s="8">
        <v>46096</v>
      </c>
      <c r="E171" t="s">
        <v>1660</v>
      </c>
      <c r="F171" t="s">
        <v>1981</v>
      </c>
      <c r="G171" s="6">
        <v>3364</v>
      </c>
      <c r="H171" t="s">
        <v>1656</v>
      </c>
      <c r="J171" s="8">
        <v>46111</v>
      </c>
      <c r="K171">
        <v>0</v>
      </c>
    </row>
    <row r="172" spans="1:11" x14ac:dyDescent="0.35">
      <c r="A172" t="s">
        <v>1982</v>
      </c>
      <c r="B172" t="s">
        <v>619</v>
      </c>
      <c r="C172" t="s">
        <v>553</v>
      </c>
      <c r="D172" s="8">
        <v>46165</v>
      </c>
      <c r="E172" t="s">
        <v>1663</v>
      </c>
      <c r="F172" t="s">
        <v>1983</v>
      </c>
      <c r="G172" s="6">
        <v>1932</v>
      </c>
      <c r="H172" t="s">
        <v>1656</v>
      </c>
      <c r="J172" s="8">
        <v>46179</v>
      </c>
      <c r="K172">
        <v>0</v>
      </c>
    </row>
    <row r="173" spans="1:11" x14ac:dyDescent="0.35">
      <c r="A173" t="s">
        <v>1984</v>
      </c>
      <c r="B173" t="s">
        <v>993</v>
      </c>
      <c r="C173" t="s">
        <v>539</v>
      </c>
      <c r="D173" s="8">
        <v>46099</v>
      </c>
      <c r="E173" t="s">
        <v>1663</v>
      </c>
      <c r="F173" t="s">
        <v>1985</v>
      </c>
      <c r="G173" s="6">
        <v>4000</v>
      </c>
      <c r="H173" t="s">
        <v>1656</v>
      </c>
      <c r="J173" s="8">
        <v>46100</v>
      </c>
      <c r="K173">
        <v>0</v>
      </c>
    </row>
    <row r="174" spans="1:11" x14ac:dyDescent="0.35">
      <c r="A174" t="s">
        <v>1986</v>
      </c>
      <c r="B174" t="s">
        <v>1058</v>
      </c>
      <c r="C174" t="s">
        <v>328</v>
      </c>
      <c r="D174" s="8">
        <v>46111</v>
      </c>
      <c r="E174" t="s">
        <v>1651</v>
      </c>
      <c r="F174" t="s">
        <v>1987</v>
      </c>
      <c r="G174" s="6">
        <v>528</v>
      </c>
      <c r="H174" t="s">
        <v>1653</v>
      </c>
      <c r="J174" s="8">
        <v>46125</v>
      </c>
      <c r="K174">
        <v>0</v>
      </c>
    </row>
    <row r="175" spans="1:11" x14ac:dyDescent="0.35">
      <c r="A175" t="s">
        <v>1988</v>
      </c>
      <c r="B175" t="s">
        <v>870</v>
      </c>
      <c r="C175" t="s">
        <v>440</v>
      </c>
      <c r="D175" s="8">
        <v>46083</v>
      </c>
      <c r="E175" t="s">
        <v>1651</v>
      </c>
      <c r="F175" t="s">
        <v>1989</v>
      </c>
      <c r="G175" s="6">
        <v>20485</v>
      </c>
      <c r="H175" t="s">
        <v>1656</v>
      </c>
      <c r="J175" s="8">
        <v>46092</v>
      </c>
      <c r="K175">
        <v>0</v>
      </c>
    </row>
    <row r="176" spans="1:11" x14ac:dyDescent="0.35">
      <c r="A176" t="s">
        <v>1990</v>
      </c>
      <c r="B176" t="s">
        <v>1526</v>
      </c>
      <c r="C176" t="s">
        <v>333</v>
      </c>
      <c r="D176" s="8">
        <v>46054</v>
      </c>
      <c r="E176" t="s">
        <v>1651</v>
      </c>
      <c r="F176" t="s">
        <v>1991</v>
      </c>
      <c r="G176" s="6">
        <v>10823</v>
      </c>
      <c r="H176" t="s">
        <v>1653</v>
      </c>
      <c r="J176" s="8">
        <v>46067</v>
      </c>
      <c r="K176">
        <v>0</v>
      </c>
    </row>
    <row r="177" spans="1:11" x14ac:dyDescent="0.35">
      <c r="A177" t="s">
        <v>1992</v>
      </c>
      <c r="B177" t="s">
        <v>1208</v>
      </c>
      <c r="C177" t="s">
        <v>233</v>
      </c>
      <c r="D177" s="8">
        <v>46161</v>
      </c>
      <c r="E177" t="s">
        <v>1651</v>
      </c>
      <c r="F177" t="s">
        <v>1993</v>
      </c>
      <c r="G177" s="6">
        <v>6688</v>
      </c>
      <c r="H177" t="s">
        <v>1656</v>
      </c>
      <c r="J177" s="8">
        <v>46181</v>
      </c>
      <c r="K177">
        <v>0</v>
      </c>
    </row>
    <row r="178" spans="1:11" x14ac:dyDescent="0.35">
      <c r="A178" t="s">
        <v>1994</v>
      </c>
      <c r="B178" t="s">
        <v>1450</v>
      </c>
      <c r="C178" t="s">
        <v>53</v>
      </c>
      <c r="D178" s="8">
        <v>46098</v>
      </c>
      <c r="E178" t="s">
        <v>1651</v>
      </c>
      <c r="F178" t="s">
        <v>1995</v>
      </c>
      <c r="G178" s="6">
        <v>13875</v>
      </c>
      <c r="H178" t="s">
        <v>1653</v>
      </c>
      <c r="J178" s="8">
        <v>46114</v>
      </c>
      <c r="K178">
        <v>0</v>
      </c>
    </row>
    <row r="179" spans="1:11" x14ac:dyDescent="0.35">
      <c r="A179" t="s">
        <v>1996</v>
      </c>
      <c r="B179" t="s">
        <v>853</v>
      </c>
      <c r="C179" t="s">
        <v>413</v>
      </c>
      <c r="E179" t="s">
        <v>1651</v>
      </c>
      <c r="F179" t="s">
        <v>1997</v>
      </c>
      <c r="G179" s="6">
        <v>6007</v>
      </c>
      <c r="H179" t="s">
        <v>671</v>
      </c>
      <c r="I179" t="s">
        <v>1693</v>
      </c>
      <c r="J179" s="8">
        <v>46145</v>
      </c>
      <c r="K179">
        <v>25</v>
      </c>
    </row>
    <row r="180" spans="1:11" x14ac:dyDescent="0.35">
      <c r="A180" t="s">
        <v>1998</v>
      </c>
      <c r="B180" t="s">
        <v>1580</v>
      </c>
      <c r="C180" t="s">
        <v>307</v>
      </c>
      <c r="D180" s="8">
        <v>46147</v>
      </c>
      <c r="E180" t="s">
        <v>1663</v>
      </c>
      <c r="F180" t="s">
        <v>1999</v>
      </c>
      <c r="G180" s="6">
        <v>19531</v>
      </c>
      <c r="H180" t="s">
        <v>1656</v>
      </c>
      <c r="J180" s="8">
        <v>46146</v>
      </c>
      <c r="K180">
        <v>0</v>
      </c>
    </row>
    <row r="181" spans="1:11" x14ac:dyDescent="0.35">
      <c r="A181" t="s">
        <v>2000</v>
      </c>
      <c r="B181" t="s">
        <v>805</v>
      </c>
      <c r="C181" t="s">
        <v>369</v>
      </c>
      <c r="D181" s="8">
        <v>46058</v>
      </c>
      <c r="E181" t="s">
        <v>1651</v>
      </c>
      <c r="F181" t="s">
        <v>2001</v>
      </c>
      <c r="G181" s="6">
        <v>9048</v>
      </c>
      <c r="H181" t="s">
        <v>1656</v>
      </c>
      <c r="J181" s="8">
        <v>46054</v>
      </c>
      <c r="K181">
        <v>0</v>
      </c>
    </row>
    <row r="182" spans="1:11" x14ac:dyDescent="0.35">
      <c r="A182" t="s">
        <v>2002</v>
      </c>
      <c r="B182" t="s">
        <v>641</v>
      </c>
      <c r="C182" t="s">
        <v>316</v>
      </c>
      <c r="D182" s="8">
        <v>46153</v>
      </c>
      <c r="E182" t="s">
        <v>1651</v>
      </c>
      <c r="F182" t="s">
        <v>2003</v>
      </c>
      <c r="G182" s="6">
        <v>13025</v>
      </c>
      <c r="H182" t="s">
        <v>1656</v>
      </c>
      <c r="J182" s="8">
        <v>46172</v>
      </c>
      <c r="K182">
        <v>0</v>
      </c>
    </row>
    <row r="183" spans="1:11" x14ac:dyDescent="0.35">
      <c r="A183" t="s">
        <v>2004</v>
      </c>
      <c r="B183" t="s">
        <v>1602</v>
      </c>
      <c r="C183" t="s">
        <v>357</v>
      </c>
      <c r="D183" s="8">
        <v>46142</v>
      </c>
      <c r="E183" t="s">
        <v>1660</v>
      </c>
      <c r="F183" t="s">
        <v>2005</v>
      </c>
      <c r="G183" s="6">
        <v>16415</v>
      </c>
      <c r="H183" t="s">
        <v>1653</v>
      </c>
      <c r="J183" s="8">
        <v>46143</v>
      </c>
      <c r="K183">
        <v>0</v>
      </c>
    </row>
    <row r="184" spans="1:11" x14ac:dyDescent="0.35">
      <c r="A184" t="s">
        <v>2006</v>
      </c>
      <c r="B184" t="s">
        <v>983</v>
      </c>
      <c r="C184" t="s">
        <v>454</v>
      </c>
      <c r="D184" s="8">
        <v>46065</v>
      </c>
      <c r="E184" t="s">
        <v>1651</v>
      </c>
      <c r="F184" t="s">
        <v>2007</v>
      </c>
      <c r="G184" s="6">
        <v>11962</v>
      </c>
      <c r="H184" t="s">
        <v>1653</v>
      </c>
      <c r="J184" s="8">
        <v>46069</v>
      </c>
      <c r="K184">
        <v>0</v>
      </c>
    </row>
    <row r="185" spans="1:11" x14ac:dyDescent="0.35">
      <c r="A185" t="s">
        <v>2008</v>
      </c>
      <c r="B185" t="s">
        <v>905</v>
      </c>
      <c r="C185" t="s">
        <v>215</v>
      </c>
      <c r="D185" s="8">
        <v>46117</v>
      </c>
      <c r="E185" t="s">
        <v>1651</v>
      </c>
      <c r="F185" t="s">
        <v>2009</v>
      </c>
      <c r="G185" s="6">
        <v>3706</v>
      </c>
      <c r="H185" t="s">
        <v>1653</v>
      </c>
      <c r="J185" s="8">
        <v>46126</v>
      </c>
      <c r="K185">
        <v>0</v>
      </c>
    </row>
    <row r="186" spans="1:11" x14ac:dyDescent="0.35">
      <c r="A186" t="s">
        <v>2010</v>
      </c>
      <c r="B186" t="s">
        <v>617</v>
      </c>
      <c r="C186" t="s">
        <v>397</v>
      </c>
      <c r="D186" s="8">
        <v>46058</v>
      </c>
      <c r="E186" t="s">
        <v>1651</v>
      </c>
      <c r="F186" t="s">
        <v>2011</v>
      </c>
      <c r="G186" s="6">
        <v>21382</v>
      </c>
      <c r="H186" t="s">
        <v>1656</v>
      </c>
      <c r="J186" s="8">
        <v>46076</v>
      </c>
      <c r="K186">
        <v>0</v>
      </c>
    </row>
    <row r="187" spans="1:11" x14ac:dyDescent="0.35">
      <c r="A187" t="s">
        <v>2012</v>
      </c>
      <c r="B187" t="s">
        <v>981</v>
      </c>
      <c r="C187" t="s">
        <v>112</v>
      </c>
      <c r="D187" s="8">
        <v>46060</v>
      </c>
      <c r="E187" t="s">
        <v>1651</v>
      </c>
      <c r="F187" t="s">
        <v>2013</v>
      </c>
      <c r="G187" s="6">
        <v>5317</v>
      </c>
      <c r="H187" t="s">
        <v>1653</v>
      </c>
      <c r="J187" s="8">
        <v>46067</v>
      </c>
      <c r="K187">
        <v>0</v>
      </c>
    </row>
    <row r="188" spans="1:11" x14ac:dyDescent="0.35">
      <c r="A188" t="s">
        <v>2014</v>
      </c>
      <c r="B188" t="s">
        <v>1594</v>
      </c>
      <c r="C188" t="s">
        <v>401</v>
      </c>
      <c r="D188" s="8">
        <v>46116</v>
      </c>
      <c r="E188" t="s">
        <v>1651</v>
      </c>
      <c r="F188" t="s">
        <v>2015</v>
      </c>
      <c r="G188" s="6">
        <v>15080</v>
      </c>
      <c r="H188" t="s">
        <v>1656</v>
      </c>
      <c r="J188" s="8">
        <v>46130</v>
      </c>
      <c r="K188">
        <v>0</v>
      </c>
    </row>
    <row r="189" spans="1:11" x14ac:dyDescent="0.35">
      <c r="A189" t="s">
        <v>2016</v>
      </c>
      <c r="B189" t="s">
        <v>1222</v>
      </c>
      <c r="C189" t="s">
        <v>145</v>
      </c>
      <c r="D189" s="8">
        <v>46076</v>
      </c>
      <c r="E189" t="s">
        <v>1663</v>
      </c>
      <c r="F189" t="s">
        <v>2017</v>
      </c>
      <c r="G189" s="6">
        <v>13365</v>
      </c>
      <c r="H189" t="s">
        <v>1656</v>
      </c>
      <c r="J189" s="8">
        <v>46077</v>
      </c>
      <c r="K189">
        <v>0</v>
      </c>
    </row>
    <row r="190" spans="1:11" x14ac:dyDescent="0.35">
      <c r="A190" t="s">
        <v>2018</v>
      </c>
      <c r="B190" t="s">
        <v>999</v>
      </c>
      <c r="C190" t="s">
        <v>240</v>
      </c>
      <c r="D190" s="8">
        <v>46052</v>
      </c>
      <c r="E190" t="s">
        <v>1651</v>
      </c>
      <c r="F190" t="s">
        <v>2019</v>
      </c>
      <c r="G190" s="6">
        <v>18786</v>
      </c>
      <c r="H190" t="s">
        <v>1656</v>
      </c>
      <c r="J190" s="8">
        <v>46048</v>
      </c>
      <c r="K190">
        <v>0</v>
      </c>
    </row>
    <row r="191" spans="1:11" x14ac:dyDescent="0.35">
      <c r="A191" t="s">
        <v>2020</v>
      </c>
      <c r="B191" t="s">
        <v>845</v>
      </c>
      <c r="C191" t="s">
        <v>509</v>
      </c>
      <c r="D191" s="8">
        <v>46061</v>
      </c>
      <c r="E191" t="s">
        <v>1660</v>
      </c>
      <c r="F191" t="s">
        <v>2021</v>
      </c>
      <c r="G191" s="6">
        <v>13338</v>
      </c>
      <c r="H191" t="s">
        <v>1653</v>
      </c>
      <c r="J191" s="8">
        <v>46070</v>
      </c>
      <c r="K191">
        <v>0</v>
      </c>
    </row>
    <row r="192" spans="1:11" x14ac:dyDescent="0.35">
      <c r="A192" t="s">
        <v>2022</v>
      </c>
      <c r="B192" t="s">
        <v>1142</v>
      </c>
      <c r="C192" t="s">
        <v>553</v>
      </c>
      <c r="D192" s="8">
        <v>46170</v>
      </c>
      <c r="E192" t="s">
        <v>1663</v>
      </c>
      <c r="F192" t="s">
        <v>2023</v>
      </c>
      <c r="G192" s="6">
        <v>16839</v>
      </c>
      <c r="H192" t="s">
        <v>1653</v>
      </c>
      <c r="J192" s="8">
        <v>46176</v>
      </c>
      <c r="K192">
        <v>0</v>
      </c>
    </row>
    <row r="193" spans="1:11" x14ac:dyDescent="0.35">
      <c r="A193" t="s">
        <v>2024</v>
      </c>
      <c r="B193" t="s">
        <v>787</v>
      </c>
      <c r="C193" t="s">
        <v>466</v>
      </c>
      <c r="D193" s="8">
        <v>46069</v>
      </c>
      <c r="E193" t="s">
        <v>1660</v>
      </c>
      <c r="F193" t="s">
        <v>2025</v>
      </c>
      <c r="G193" s="6">
        <v>17952</v>
      </c>
      <c r="H193" t="s">
        <v>1656</v>
      </c>
      <c r="J193" s="8">
        <v>46074</v>
      </c>
      <c r="K193">
        <v>0</v>
      </c>
    </row>
    <row r="194" spans="1:11" x14ac:dyDescent="0.35">
      <c r="A194" t="s">
        <v>2026</v>
      </c>
      <c r="B194" t="s">
        <v>823</v>
      </c>
      <c r="C194" t="s">
        <v>284</v>
      </c>
      <c r="D194" s="8">
        <v>46163</v>
      </c>
      <c r="E194" t="s">
        <v>1651</v>
      </c>
      <c r="F194" t="s">
        <v>2027</v>
      </c>
      <c r="G194" s="6">
        <v>4442</v>
      </c>
      <c r="H194" t="s">
        <v>1656</v>
      </c>
      <c r="J194" s="8">
        <v>46190</v>
      </c>
      <c r="K194">
        <v>0</v>
      </c>
    </row>
    <row r="195" spans="1:11" x14ac:dyDescent="0.35">
      <c r="A195" t="s">
        <v>2028</v>
      </c>
      <c r="B195" t="s">
        <v>1258</v>
      </c>
      <c r="C195" t="s">
        <v>478</v>
      </c>
      <c r="D195" s="8">
        <v>46152</v>
      </c>
      <c r="E195" t="s">
        <v>1651</v>
      </c>
      <c r="F195" t="s">
        <v>2029</v>
      </c>
      <c r="G195" s="6">
        <v>21850</v>
      </c>
      <c r="H195" t="s">
        <v>1656</v>
      </c>
      <c r="J195" s="8">
        <v>46171</v>
      </c>
      <c r="K195">
        <v>0</v>
      </c>
    </row>
    <row r="196" spans="1:11" x14ac:dyDescent="0.35">
      <c r="A196" t="s">
        <v>2030</v>
      </c>
      <c r="B196" t="s">
        <v>1544</v>
      </c>
      <c r="C196" t="s">
        <v>354</v>
      </c>
      <c r="D196" s="8">
        <v>46174</v>
      </c>
      <c r="E196" t="s">
        <v>1663</v>
      </c>
      <c r="F196" t="s">
        <v>2031</v>
      </c>
      <c r="G196" s="6">
        <v>17474</v>
      </c>
      <c r="H196" t="s">
        <v>1656</v>
      </c>
      <c r="J196" s="8">
        <v>46193</v>
      </c>
      <c r="K196">
        <v>0</v>
      </c>
    </row>
    <row r="197" spans="1:11" x14ac:dyDescent="0.35">
      <c r="A197" t="s">
        <v>2032</v>
      </c>
      <c r="B197" t="s">
        <v>1614</v>
      </c>
      <c r="C197" t="s">
        <v>366</v>
      </c>
      <c r="E197" t="s">
        <v>1660</v>
      </c>
      <c r="G197" s="6">
        <v>12136</v>
      </c>
      <c r="H197" t="s">
        <v>1667</v>
      </c>
      <c r="I197" t="s">
        <v>1673</v>
      </c>
      <c r="J197" s="8">
        <v>46136</v>
      </c>
      <c r="K197">
        <v>34</v>
      </c>
    </row>
    <row r="198" spans="1:11" x14ac:dyDescent="0.35">
      <c r="A198" t="s">
        <v>2033</v>
      </c>
      <c r="B198" t="s">
        <v>1398</v>
      </c>
      <c r="C198" t="s">
        <v>354</v>
      </c>
      <c r="D198" s="8">
        <v>46134</v>
      </c>
      <c r="E198" t="s">
        <v>1651</v>
      </c>
      <c r="F198" t="s">
        <v>2034</v>
      </c>
      <c r="G198" s="6">
        <v>8571</v>
      </c>
      <c r="H198" t="s">
        <v>1656</v>
      </c>
      <c r="J198" s="8">
        <v>46129</v>
      </c>
      <c r="K198">
        <v>0</v>
      </c>
    </row>
    <row r="199" spans="1:11" x14ac:dyDescent="0.35">
      <c r="A199" t="s">
        <v>2035</v>
      </c>
      <c r="B199" t="s">
        <v>1620</v>
      </c>
      <c r="C199" t="s">
        <v>460</v>
      </c>
      <c r="D199" s="8">
        <v>46075</v>
      </c>
      <c r="E199" t="s">
        <v>1651</v>
      </c>
      <c r="F199" t="s">
        <v>2036</v>
      </c>
      <c r="G199" s="6">
        <v>10711</v>
      </c>
      <c r="H199" t="s">
        <v>1656</v>
      </c>
      <c r="J199" s="8">
        <v>46090</v>
      </c>
      <c r="K199">
        <v>0</v>
      </c>
    </row>
    <row r="200" spans="1:11" x14ac:dyDescent="0.35">
      <c r="A200" t="s">
        <v>2037</v>
      </c>
      <c r="B200" t="s">
        <v>953</v>
      </c>
      <c r="C200" t="s">
        <v>524</v>
      </c>
      <c r="D200" s="8">
        <v>46052</v>
      </c>
      <c r="E200" t="s">
        <v>1651</v>
      </c>
      <c r="F200" t="s">
        <v>2038</v>
      </c>
      <c r="G200" s="6">
        <v>7307</v>
      </c>
      <c r="H200" t="s">
        <v>1656</v>
      </c>
      <c r="J200" s="8">
        <v>46063</v>
      </c>
      <c r="K200">
        <v>0</v>
      </c>
    </row>
    <row r="201" spans="1:11" x14ac:dyDescent="0.35">
      <c r="A201" t="s">
        <v>2039</v>
      </c>
      <c r="B201" t="s">
        <v>659</v>
      </c>
      <c r="C201" t="s">
        <v>325</v>
      </c>
      <c r="D201" s="8">
        <v>46166</v>
      </c>
      <c r="E201" t="s">
        <v>1663</v>
      </c>
      <c r="F201" t="s">
        <v>2040</v>
      </c>
      <c r="G201" s="6">
        <v>8023</v>
      </c>
      <c r="H201" t="s">
        <v>1656</v>
      </c>
      <c r="J201" s="8">
        <v>46173</v>
      </c>
      <c r="K201">
        <v>0</v>
      </c>
    </row>
    <row r="202" spans="1:11" x14ac:dyDescent="0.35">
      <c r="A202" t="s">
        <v>2041</v>
      </c>
      <c r="B202" t="s">
        <v>856</v>
      </c>
      <c r="C202" t="s">
        <v>336</v>
      </c>
      <c r="D202" s="8">
        <v>46104</v>
      </c>
      <c r="E202" t="s">
        <v>1660</v>
      </c>
      <c r="F202" t="s">
        <v>2042</v>
      </c>
      <c r="G202" s="6">
        <v>6216</v>
      </c>
      <c r="H202" t="s">
        <v>1656</v>
      </c>
      <c r="J202" s="8">
        <v>46106</v>
      </c>
      <c r="K202">
        <v>0</v>
      </c>
    </row>
    <row r="203" spans="1:11" x14ac:dyDescent="0.35">
      <c r="A203" t="s">
        <v>2043</v>
      </c>
      <c r="B203" t="s">
        <v>1604</v>
      </c>
      <c r="C203" t="s">
        <v>511</v>
      </c>
      <c r="D203" s="8">
        <v>46128</v>
      </c>
      <c r="E203" t="s">
        <v>1660</v>
      </c>
      <c r="F203" t="s">
        <v>2044</v>
      </c>
      <c r="G203" s="6">
        <v>11809</v>
      </c>
      <c r="H203" t="s">
        <v>1656</v>
      </c>
      <c r="J203" s="8">
        <v>46131</v>
      </c>
      <c r="K203">
        <v>0</v>
      </c>
    </row>
    <row r="204" spans="1:11" x14ac:dyDescent="0.35">
      <c r="A204" t="s">
        <v>2045</v>
      </c>
      <c r="B204" t="s">
        <v>979</v>
      </c>
      <c r="C204" t="s">
        <v>80</v>
      </c>
      <c r="D204" s="8">
        <v>46043</v>
      </c>
      <c r="E204" t="s">
        <v>1660</v>
      </c>
      <c r="F204" t="s">
        <v>2046</v>
      </c>
      <c r="G204" s="6">
        <v>10937</v>
      </c>
      <c r="H204" t="s">
        <v>1656</v>
      </c>
      <c r="J204" s="8">
        <v>46051</v>
      </c>
      <c r="K204">
        <v>0</v>
      </c>
    </row>
    <row r="205" spans="1:11" x14ac:dyDescent="0.35">
      <c r="A205" t="s">
        <v>2047</v>
      </c>
      <c r="B205" t="s">
        <v>586</v>
      </c>
      <c r="C205" t="s">
        <v>155</v>
      </c>
      <c r="D205" s="8">
        <v>46117</v>
      </c>
      <c r="E205" t="s">
        <v>1651</v>
      </c>
      <c r="F205" t="s">
        <v>2048</v>
      </c>
      <c r="G205" s="6">
        <v>19790</v>
      </c>
      <c r="H205" t="s">
        <v>1656</v>
      </c>
      <c r="J205" s="8">
        <v>46128</v>
      </c>
      <c r="K205">
        <v>0</v>
      </c>
    </row>
    <row r="206" spans="1:11" x14ac:dyDescent="0.35">
      <c r="A206" t="s">
        <v>2049</v>
      </c>
      <c r="B206" t="s">
        <v>985</v>
      </c>
      <c r="C206" t="s">
        <v>473</v>
      </c>
      <c r="D206" s="8">
        <v>46116</v>
      </c>
      <c r="E206" t="s">
        <v>1651</v>
      </c>
      <c r="F206" t="s">
        <v>2050</v>
      </c>
      <c r="G206" s="6">
        <v>21868</v>
      </c>
      <c r="H206" t="s">
        <v>1656</v>
      </c>
      <c r="J206" s="8">
        <v>46143</v>
      </c>
      <c r="K206">
        <v>0</v>
      </c>
    </row>
    <row r="207" spans="1:11" x14ac:dyDescent="0.35">
      <c r="A207" t="s">
        <v>2051</v>
      </c>
      <c r="B207" t="s">
        <v>1614</v>
      </c>
      <c r="C207" t="s">
        <v>413</v>
      </c>
      <c r="D207" s="8">
        <v>46162</v>
      </c>
      <c r="E207" t="s">
        <v>1651</v>
      </c>
      <c r="F207" t="s">
        <v>2052</v>
      </c>
      <c r="G207" s="6">
        <v>8705</v>
      </c>
      <c r="H207" t="s">
        <v>1656</v>
      </c>
      <c r="J207" s="8">
        <v>46178</v>
      </c>
      <c r="K207">
        <v>0</v>
      </c>
    </row>
    <row r="208" spans="1:11" x14ac:dyDescent="0.35">
      <c r="A208" t="s">
        <v>2053</v>
      </c>
      <c r="B208" t="s">
        <v>1350</v>
      </c>
      <c r="C208" t="s">
        <v>435</v>
      </c>
      <c r="D208" s="8">
        <v>46103</v>
      </c>
      <c r="E208" t="s">
        <v>1651</v>
      </c>
      <c r="F208" t="s">
        <v>2054</v>
      </c>
      <c r="G208" s="6">
        <v>11076</v>
      </c>
      <c r="H208" t="s">
        <v>1656</v>
      </c>
      <c r="J208" s="8">
        <v>46118</v>
      </c>
      <c r="K208">
        <v>0</v>
      </c>
    </row>
    <row r="209" spans="1:11" x14ac:dyDescent="0.35">
      <c r="A209" t="s">
        <v>2055</v>
      </c>
      <c r="B209" t="s">
        <v>1076</v>
      </c>
      <c r="C209" t="s">
        <v>331</v>
      </c>
      <c r="D209" s="8">
        <v>46153</v>
      </c>
      <c r="E209" t="s">
        <v>1651</v>
      </c>
      <c r="F209" t="s">
        <v>2056</v>
      </c>
      <c r="G209" s="6">
        <v>3873</v>
      </c>
      <c r="H209" t="s">
        <v>1656</v>
      </c>
      <c r="J209" s="8">
        <v>46161</v>
      </c>
      <c r="K209">
        <v>0</v>
      </c>
    </row>
    <row r="210" spans="1:11" x14ac:dyDescent="0.35">
      <c r="A210" t="s">
        <v>2057</v>
      </c>
      <c r="B210" t="s">
        <v>682</v>
      </c>
      <c r="C210" t="s">
        <v>135</v>
      </c>
      <c r="D210" s="8">
        <v>46154</v>
      </c>
      <c r="E210" t="s">
        <v>1651</v>
      </c>
      <c r="F210" t="s">
        <v>2058</v>
      </c>
      <c r="G210" s="6">
        <v>16043</v>
      </c>
      <c r="H210" t="s">
        <v>1653</v>
      </c>
      <c r="J210" s="8">
        <v>46171</v>
      </c>
      <c r="K210">
        <v>0</v>
      </c>
    </row>
    <row r="211" spans="1:11" x14ac:dyDescent="0.35">
      <c r="A211" t="s">
        <v>2059</v>
      </c>
      <c r="B211" t="s">
        <v>1324</v>
      </c>
      <c r="C211" t="s">
        <v>336</v>
      </c>
      <c r="D211" s="8">
        <v>46162</v>
      </c>
      <c r="E211" t="s">
        <v>1651</v>
      </c>
      <c r="F211" t="s">
        <v>2060</v>
      </c>
      <c r="G211" s="6">
        <v>13466</v>
      </c>
      <c r="H211" t="s">
        <v>1656</v>
      </c>
      <c r="J211" s="8">
        <v>46180</v>
      </c>
      <c r="K211">
        <v>0</v>
      </c>
    </row>
    <row r="212" spans="1:11" x14ac:dyDescent="0.35">
      <c r="A212" t="s">
        <v>2061</v>
      </c>
      <c r="B212" t="s">
        <v>1298</v>
      </c>
      <c r="C212" t="s">
        <v>165</v>
      </c>
      <c r="D212" s="8">
        <v>46142</v>
      </c>
      <c r="E212" t="s">
        <v>1651</v>
      </c>
      <c r="F212" t="s">
        <v>2062</v>
      </c>
      <c r="G212" s="6">
        <v>15499</v>
      </c>
      <c r="H212" t="s">
        <v>1656</v>
      </c>
      <c r="J212" s="8">
        <v>46154</v>
      </c>
      <c r="K212">
        <v>0</v>
      </c>
    </row>
    <row r="213" spans="1:11" x14ac:dyDescent="0.35">
      <c r="A213" t="s">
        <v>2063</v>
      </c>
      <c r="B213" t="s">
        <v>586</v>
      </c>
      <c r="C213" t="s">
        <v>372</v>
      </c>
      <c r="D213" s="8">
        <v>46077</v>
      </c>
      <c r="E213" t="s">
        <v>1651</v>
      </c>
      <c r="F213" t="s">
        <v>2064</v>
      </c>
      <c r="G213" s="6">
        <v>20066</v>
      </c>
      <c r="H213" t="s">
        <v>1656</v>
      </c>
      <c r="J213" s="8">
        <v>46086</v>
      </c>
      <c r="K213">
        <v>0</v>
      </c>
    </row>
    <row r="214" spans="1:11" x14ac:dyDescent="0.35">
      <c r="A214" t="s">
        <v>2065</v>
      </c>
      <c r="B214" t="s">
        <v>695</v>
      </c>
      <c r="C214" t="s">
        <v>351</v>
      </c>
      <c r="D214" s="8">
        <v>46140</v>
      </c>
      <c r="E214" t="s">
        <v>1663</v>
      </c>
      <c r="F214" t="s">
        <v>2066</v>
      </c>
      <c r="G214" s="6">
        <v>17999</v>
      </c>
      <c r="H214" t="s">
        <v>1656</v>
      </c>
      <c r="J214" s="8">
        <v>46141</v>
      </c>
      <c r="K214">
        <v>0</v>
      </c>
    </row>
    <row r="215" spans="1:11" x14ac:dyDescent="0.35">
      <c r="A215" t="s">
        <v>2067</v>
      </c>
      <c r="B215" t="s">
        <v>1570</v>
      </c>
      <c r="C215" t="s">
        <v>293</v>
      </c>
      <c r="D215" s="8">
        <v>46069</v>
      </c>
      <c r="E215" t="s">
        <v>1651</v>
      </c>
      <c r="F215" t="s">
        <v>2068</v>
      </c>
      <c r="G215" s="6">
        <v>12314</v>
      </c>
      <c r="H215" t="s">
        <v>1656</v>
      </c>
      <c r="J215" s="8">
        <v>46081</v>
      </c>
      <c r="K215">
        <v>0</v>
      </c>
    </row>
    <row r="216" spans="1:11" x14ac:dyDescent="0.35">
      <c r="A216" t="s">
        <v>2069</v>
      </c>
      <c r="B216" t="s">
        <v>1588</v>
      </c>
      <c r="C216" t="s">
        <v>339</v>
      </c>
      <c r="D216" s="8">
        <v>46165</v>
      </c>
      <c r="E216" t="s">
        <v>1651</v>
      </c>
      <c r="F216" t="s">
        <v>2070</v>
      </c>
      <c r="G216" s="6">
        <v>21623</v>
      </c>
      <c r="H216" t="s">
        <v>1656</v>
      </c>
      <c r="J216" s="8">
        <v>46169</v>
      </c>
      <c r="K216">
        <v>0</v>
      </c>
    </row>
    <row r="217" spans="1:11" x14ac:dyDescent="0.35">
      <c r="A217" t="s">
        <v>2071</v>
      </c>
      <c r="B217" t="s">
        <v>1518</v>
      </c>
      <c r="C217" t="s">
        <v>535</v>
      </c>
      <c r="D217" s="8">
        <v>46090</v>
      </c>
      <c r="E217" t="s">
        <v>1651</v>
      </c>
      <c r="F217" t="s">
        <v>2072</v>
      </c>
      <c r="G217" s="6">
        <v>5940</v>
      </c>
      <c r="H217" t="s">
        <v>1653</v>
      </c>
      <c r="J217" s="8">
        <v>46094</v>
      </c>
      <c r="K217">
        <v>0</v>
      </c>
    </row>
    <row r="218" spans="1:11" x14ac:dyDescent="0.35">
      <c r="A218" t="s">
        <v>2073</v>
      </c>
      <c r="B218" t="s">
        <v>1038</v>
      </c>
      <c r="C218" t="s">
        <v>281</v>
      </c>
      <c r="D218" s="8">
        <v>46062</v>
      </c>
      <c r="E218" t="s">
        <v>1651</v>
      </c>
      <c r="F218" t="s">
        <v>2074</v>
      </c>
      <c r="G218" s="6">
        <v>10078</v>
      </c>
      <c r="H218" t="s">
        <v>1656</v>
      </c>
      <c r="J218" s="8">
        <v>46087</v>
      </c>
      <c r="K218">
        <v>0</v>
      </c>
    </row>
    <row r="219" spans="1:11" x14ac:dyDescent="0.35">
      <c r="A219" t="s">
        <v>2075</v>
      </c>
      <c r="B219" t="s">
        <v>965</v>
      </c>
      <c r="C219" t="s">
        <v>98</v>
      </c>
      <c r="D219" s="8">
        <v>46151</v>
      </c>
      <c r="E219" t="s">
        <v>1651</v>
      </c>
      <c r="F219" t="s">
        <v>2076</v>
      </c>
      <c r="G219" s="6">
        <v>1583</v>
      </c>
      <c r="H219" t="s">
        <v>1653</v>
      </c>
      <c r="J219" s="8">
        <v>46164</v>
      </c>
      <c r="K219">
        <v>0</v>
      </c>
    </row>
    <row r="220" spans="1:11" x14ac:dyDescent="0.35">
      <c r="A220" t="s">
        <v>2077</v>
      </c>
      <c r="B220" t="s">
        <v>815</v>
      </c>
      <c r="C220" t="s">
        <v>296</v>
      </c>
      <c r="D220" s="8">
        <v>46128</v>
      </c>
      <c r="E220" t="s">
        <v>1651</v>
      </c>
      <c r="F220" t="s">
        <v>2078</v>
      </c>
      <c r="G220" s="6">
        <v>21182</v>
      </c>
      <c r="H220" t="s">
        <v>1656</v>
      </c>
      <c r="J220" s="8">
        <v>46134</v>
      </c>
      <c r="K220">
        <v>0</v>
      </c>
    </row>
    <row r="221" spans="1:11" x14ac:dyDescent="0.35">
      <c r="A221" t="s">
        <v>2079</v>
      </c>
      <c r="B221" t="s">
        <v>1088</v>
      </c>
      <c r="C221" t="s">
        <v>501</v>
      </c>
      <c r="D221" s="8">
        <v>46107</v>
      </c>
      <c r="E221" t="s">
        <v>1651</v>
      </c>
      <c r="F221" t="s">
        <v>2080</v>
      </c>
      <c r="G221" s="6">
        <v>6020</v>
      </c>
      <c r="H221" t="s">
        <v>1656</v>
      </c>
      <c r="J221" s="8">
        <v>46128</v>
      </c>
      <c r="K221">
        <v>0</v>
      </c>
    </row>
    <row r="222" spans="1:11" x14ac:dyDescent="0.35">
      <c r="A222" t="s">
        <v>2081</v>
      </c>
      <c r="B222" t="s">
        <v>951</v>
      </c>
      <c r="C222" t="s">
        <v>563</v>
      </c>
      <c r="D222" s="8">
        <v>46051</v>
      </c>
      <c r="E222" t="s">
        <v>1651</v>
      </c>
      <c r="F222" t="s">
        <v>2082</v>
      </c>
      <c r="G222" s="6">
        <v>2728</v>
      </c>
      <c r="H222" t="s">
        <v>1656</v>
      </c>
      <c r="J222" s="8">
        <v>46066</v>
      </c>
      <c r="K222">
        <v>0</v>
      </c>
    </row>
    <row r="223" spans="1:11" x14ac:dyDescent="0.35">
      <c r="A223" t="s">
        <v>2083</v>
      </c>
      <c r="B223" t="s">
        <v>1578</v>
      </c>
      <c r="C223" t="s">
        <v>443</v>
      </c>
      <c r="E223" t="s">
        <v>1651</v>
      </c>
      <c r="G223" s="6">
        <v>16914</v>
      </c>
      <c r="H223" t="s">
        <v>1667</v>
      </c>
      <c r="I223" t="s">
        <v>1704</v>
      </c>
      <c r="J223" s="8">
        <v>46137</v>
      </c>
      <c r="K223">
        <v>33</v>
      </c>
    </row>
    <row r="224" spans="1:11" x14ac:dyDescent="0.35">
      <c r="A224" t="s">
        <v>2084</v>
      </c>
      <c r="B224" t="s">
        <v>1486</v>
      </c>
      <c r="C224" t="s">
        <v>558</v>
      </c>
      <c r="D224" s="8">
        <v>46135</v>
      </c>
      <c r="E224" t="s">
        <v>1663</v>
      </c>
      <c r="F224" t="s">
        <v>2085</v>
      </c>
      <c r="G224" s="6">
        <v>12708</v>
      </c>
      <c r="H224" t="s">
        <v>1656</v>
      </c>
      <c r="J224" s="8">
        <v>46135</v>
      </c>
      <c r="K224">
        <v>0</v>
      </c>
    </row>
    <row r="225" spans="1:11" x14ac:dyDescent="0.35">
      <c r="A225" t="s">
        <v>2086</v>
      </c>
      <c r="B225" t="s">
        <v>1624</v>
      </c>
      <c r="C225" t="s">
        <v>243</v>
      </c>
      <c r="D225" s="8">
        <v>46085</v>
      </c>
      <c r="E225" t="s">
        <v>1651</v>
      </c>
      <c r="F225" t="s">
        <v>2087</v>
      </c>
      <c r="G225" s="6">
        <v>699</v>
      </c>
      <c r="H225" t="s">
        <v>1656</v>
      </c>
      <c r="J225" s="8">
        <v>46102</v>
      </c>
      <c r="K225">
        <v>0</v>
      </c>
    </row>
    <row r="226" spans="1:11" x14ac:dyDescent="0.35">
      <c r="A226" t="s">
        <v>2088</v>
      </c>
      <c r="B226" t="s">
        <v>1202</v>
      </c>
      <c r="C226" t="s">
        <v>193</v>
      </c>
      <c r="D226" s="8">
        <v>46125</v>
      </c>
      <c r="E226" t="s">
        <v>1663</v>
      </c>
      <c r="F226" t="s">
        <v>2089</v>
      </c>
      <c r="G226" s="6">
        <v>13591</v>
      </c>
      <c r="H226" t="s">
        <v>1656</v>
      </c>
      <c r="J226" s="8">
        <v>46142</v>
      </c>
      <c r="K226">
        <v>0</v>
      </c>
    </row>
    <row r="227" spans="1:11" x14ac:dyDescent="0.35">
      <c r="A227" t="s">
        <v>2090</v>
      </c>
      <c r="B227" t="s">
        <v>1262</v>
      </c>
      <c r="C227" t="s">
        <v>252</v>
      </c>
      <c r="D227" s="8">
        <v>46136</v>
      </c>
      <c r="E227" t="s">
        <v>1663</v>
      </c>
      <c r="F227" t="s">
        <v>2091</v>
      </c>
      <c r="G227" s="6">
        <v>16282</v>
      </c>
      <c r="H227" t="s">
        <v>1656</v>
      </c>
      <c r="J227" s="8">
        <v>46157</v>
      </c>
      <c r="K227">
        <v>0</v>
      </c>
    </row>
    <row r="228" spans="1:11" x14ac:dyDescent="0.35">
      <c r="A228" t="s">
        <v>2092</v>
      </c>
      <c r="B228" t="s">
        <v>1408</v>
      </c>
      <c r="C228" t="s">
        <v>65</v>
      </c>
      <c r="D228" s="8">
        <v>46082</v>
      </c>
      <c r="E228" t="s">
        <v>1651</v>
      </c>
      <c r="F228" t="s">
        <v>2093</v>
      </c>
      <c r="G228" s="6">
        <v>16222</v>
      </c>
      <c r="H228" t="s">
        <v>1656</v>
      </c>
      <c r="J228" s="8">
        <v>46092</v>
      </c>
      <c r="K228">
        <v>0</v>
      </c>
    </row>
    <row r="229" spans="1:11" x14ac:dyDescent="0.35">
      <c r="A229" t="s">
        <v>2094</v>
      </c>
      <c r="B229" t="s">
        <v>795</v>
      </c>
      <c r="C229" t="s">
        <v>501</v>
      </c>
      <c r="D229" s="8">
        <v>46147</v>
      </c>
      <c r="E229" t="s">
        <v>1651</v>
      </c>
      <c r="F229" t="s">
        <v>2095</v>
      </c>
      <c r="G229" s="6">
        <v>2306</v>
      </c>
      <c r="H229" t="s">
        <v>1653</v>
      </c>
      <c r="J229" s="8">
        <v>46168</v>
      </c>
      <c r="K229">
        <v>0</v>
      </c>
    </row>
    <row r="230" spans="1:11" x14ac:dyDescent="0.35">
      <c r="A230" t="s">
        <v>2096</v>
      </c>
      <c r="B230" t="s">
        <v>747</v>
      </c>
      <c r="C230" t="s">
        <v>48</v>
      </c>
      <c r="D230" s="8">
        <v>46161</v>
      </c>
      <c r="E230" t="s">
        <v>1651</v>
      </c>
      <c r="F230" t="s">
        <v>2097</v>
      </c>
      <c r="G230" s="6">
        <v>12781</v>
      </c>
      <c r="H230" t="s">
        <v>1656</v>
      </c>
      <c r="J230" s="8">
        <v>46166</v>
      </c>
      <c r="K230">
        <v>0</v>
      </c>
    </row>
    <row r="231" spans="1:11" x14ac:dyDescent="0.35">
      <c r="A231" t="s">
        <v>2098</v>
      </c>
      <c r="B231" t="s">
        <v>663</v>
      </c>
      <c r="C231" t="s">
        <v>171</v>
      </c>
      <c r="E231" t="s">
        <v>1660</v>
      </c>
      <c r="G231" s="6">
        <v>14364</v>
      </c>
      <c r="H231" t="s">
        <v>1712</v>
      </c>
      <c r="I231" t="s">
        <v>1693</v>
      </c>
      <c r="J231" s="8">
        <v>46177</v>
      </c>
      <c r="K231">
        <v>0</v>
      </c>
    </row>
    <row r="232" spans="1:11" x14ac:dyDescent="0.35">
      <c r="A232" t="s">
        <v>2099</v>
      </c>
      <c r="B232" t="s">
        <v>1250</v>
      </c>
      <c r="C232" t="s">
        <v>158</v>
      </c>
      <c r="D232" s="8">
        <v>46162</v>
      </c>
      <c r="E232" t="s">
        <v>1651</v>
      </c>
      <c r="F232" t="s">
        <v>2100</v>
      </c>
      <c r="G232" s="6">
        <v>20321</v>
      </c>
      <c r="H232" t="s">
        <v>1653</v>
      </c>
      <c r="J232" s="8">
        <v>46189</v>
      </c>
      <c r="K232">
        <v>0</v>
      </c>
    </row>
    <row r="233" spans="1:11" x14ac:dyDescent="0.35">
      <c r="A233" t="s">
        <v>2101</v>
      </c>
      <c r="B233" t="s">
        <v>1634</v>
      </c>
      <c r="C233" t="s">
        <v>380</v>
      </c>
      <c r="D233" s="8">
        <v>46075</v>
      </c>
      <c r="E233" t="s">
        <v>1651</v>
      </c>
      <c r="F233" t="s">
        <v>2102</v>
      </c>
      <c r="G233" s="6">
        <v>5328</v>
      </c>
      <c r="H233" t="s">
        <v>1656</v>
      </c>
      <c r="J233" s="8">
        <v>46083</v>
      </c>
      <c r="K233">
        <v>0</v>
      </c>
    </row>
    <row r="234" spans="1:11" x14ac:dyDescent="0.35">
      <c r="A234" t="s">
        <v>2103</v>
      </c>
      <c r="B234" t="s">
        <v>889</v>
      </c>
      <c r="C234" t="s">
        <v>272</v>
      </c>
      <c r="D234" s="8">
        <v>46146</v>
      </c>
      <c r="E234" t="s">
        <v>1663</v>
      </c>
      <c r="F234" t="s">
        <v>2104</v>
      </c>
      <c r="G234" s="6">
        <v>4155</v>
      </c>
      <c r="H234" t="s">
        <v>1656</v>
      </c>
      <c r="J234" s="8">
        <v>46167</v>
      </c>
      <c r="K234">
        <v>0</v>
      </c>
    </row>
    <row r="235" spans="1:11" x14ac:dyDescent="0.35">
      <c r="A235" t="s">
        <v>2105</v>
      </c>
      <c r="B235" t="s">
        <v>1488</v>
      </c>
      <c r="C235" t="s">
        <v>132</v>
      </c>
      <c r="D235" s="8">
        <v>46089</v>
      </c>
      <c r="E235" t="s">
        <v>1651</v>
      </c>
      <c r="F235" t="s">
        <v>2106</v>
      </c>
      <c r="G235" s="6">
        <v>8495</v>
      </c>
      <c r="H235" t="s">
        <v>1656</v>
      </c>
      <c r="J235" s="8">
        <v>46108</v>
      </c>
      <c r="K235">
        <v>0</v>
      </c>
    </row>
    <row r="236" spans="1:11" x14ac:dyDescent="0.35">
      <c r="A236" t="s">
        <v>2107</v>
      </c>
      <c r="B236" t="s">
        <v>639</v>
      </c>
      <c r="C236" t="s">
        <v>304</v>
      </c>
      <c r="D236" s="8">
        <v>46087</v>
      </c>
      <c r="E236" t="s">
        <v>1660</v>
      </c>
      <c r="F236" t="s">
        <v>2108</v>
      </c>
      <c r="G236" s="6">
        <v>6873</v>
      </c>
      <c r="H236" t="s">
        <v>1656</v>
      </c>
      <c r="J236" s="8">
        <v>46105</v>
      </c>
      <c r="K236">
        <v>0</v>
      </c>
    </row>
    <row r="237" spans="1:11" x14ac:dyDescent="0.35">
      <c r="A237" t="s">
        <v>2109</v>
      </c>
      <c r="B237" t="s">
        <v>1032</v>
      </c>
      <c r="C237" t="s">
        <v>399</v>
      </c>
      <c r="E237" t="s">
        <v>1651</v>
      </c>
      <c r="F237" t="s">
        <v>2110</v>
      </c>
      <c r="G237" s="6">
        <v>8020</v>
      </c>
      <c r="H237" t="s">
        <v>1712</v>
      </c>
      <c r="I237" t="s">
        <v>1693</v>
      </c>
      <c r="J237" s="8">
        <v>46066</v>
      </c>
      <c r="K237">
        <v>104</v>
      </c>
    </row>
    <row r="238" spans="1:11" x14ac:dyDescent="0.35">
      <c r="A238" t="s">
        <v>2111</v>
      </c>
      <c r="B238" t="s">
        <v>1456</v>
      </c>
      <c r="C238" t="s">
        <v>60</v>
      </c>
      <c r="E238" t="s">
        <v>1660</v>
      </c>
      <c r="G238" s="6">
        <v>20760</v>
      </c>
      <c r="H238" t="s">
        <v>671</v>
      </c>
      <c r="I238" t="s">
        <v>1668</v>
      </c>
      <c r="J238" s="8">
        <v>46163</v>
      </c>
      <c r="K238">
        <v>7</v>
      </c>
    </row>
    <row r="239" spans="1:11" x14ac:dyDescent="0.35">
      <c r="A239" t="s">
        <v>2112</v>
      </c>
      <c r="B239" t="s">
        <v>1514</v>
      </c>
      <c r="C239" t="s">
        <v>437</v>
      </c>
      <c r="D239" s="8">
        <v>46089</v>
      </c>
      <c r="E239" t="s">
        <v>1651</v>
      </c>
      <c r="F239" t="s">
        <v>2113</v>
      </c>
      <c r="G239" s="6">
        <v>11333</v>
      </c>
      <c r="H239" t="s">
        <v>1656</v>
      </c>
      <c r="J239" s="8">
        <v>46109</v>
      </c>
      <c r="K239">
        <v>0</v>
      </c>
    </row>
    <row r="240" spans="1:11" x14ac:dyDescent="0.35">
      <c r="A240" t="s">
        <v>2114</v>
      </c>
      <c r="B240" t="s">
        <v>1606</v>
      </c>
      <c r="C240" t="s">
        <v>120</v>
      </c>
      <c r="D240" s="8">
        <v>46111</v>
      </c>
      <c r="E240" t="s">
        <v>1651</v>
      </c>
      <c r="F240" t="s">
        <v>2115</v>
      </c>
      <c r="G240" s="6">
        <v>16851</v>
      </c>
      <c r="H240" t="s">
        <v>1656</v>
      </c>
      <c r="J240" s="8">
        <v>46121</v>
      </c>
      <c r="K240">
        <v>0</v>
      </c>
    </row>
    <row r="241" spans="1:11" x14ac:dyDescent="0.35">
      <c r="A241" t="s">
        <v>2116</v>
      </c>
      <c r="B241" t="s">
        <v>721</v>
      </c>
      <c r="C241" t="s">
        <v>183</v>
      </c>
      <c r="D241" s="8">
        <v>46055</v>
      </c>
      <c r="E241" t="s">
        <v>1651</v>
      </c>
      <c r="F241" t="s">
        <v>2117</v>
      </c>
      <c r="G241" s="6">
        <v>21413</v>
      </c>
      <c r="H241" t="s">
        <v>1653</v>
      </c>
      <c r="J241" s="8">
        <v>46062</v>
      </c>
      <c r="K241">
        <v>0</v>
      </c>
    </row>
    <row r="242" spans="1:11" x14ac:dyDescent="0.35">
      <c r="A242" t="s">
        <v>2118</v>
      </c>
      <c r="B242" t="s">
        <v>1206</v>
      </c>
      <c r="C242" t="s">
        <v>483</v>
      </c>
      <c r="D242" s="8">
        <v>46040</v>
      </c>
      <c r="E242" t="s">
        <v>1651</v>
      </c>
      <c r="F242" t="s">
        <v>2119</v>
      </c>
      <c r="G242" s="6">
        <v>7879</v>
      </c>
      <c r="H242" t="s">
        <v>1656</v>
      </c>
      <c r="J242" s="8">
        <v>46045</v>
      </c>
      <c r="K242">
        <v>0</v>
      </c>
    </row>
    <row r="243" spans="1:11" x14ac:dyDescent="0.35">
      <c r="A243" t="s">
        <v>2120</v>
      </c>
      <c r="B243" t="s">
        <v>1140</v>
      </c>
      <c r="C243" t="s">
        <v>372</v>
      </c>
      <c r="D243" s="8">
        <v>46095</v>
      </c>
      <c r="E243" t="s">
        <v>1651</v>
      </c>
      <c r="F243" t="s">
        <v>2121</v>
      </c>
      <c r="G243" s="6">
        <v>4137</v>
      </c>
      <c r="H243" t="s">
        <v>1656</v>
      </c>
      <c r="J243" s="8">
        <v>46098</v>
      </c>
      <c r="K243">
        <v>0</v>
      </c>
    </row>
    <row r="244" spans="1:11" x14ac:dyDescent="0.35">
      <c r="A244" t="s">
        <v>2122</v>
      </c>
      <c r="B244" t="s">
        <v>1172</v>
      </c>
      <c r="C244" t="s">
        <v>339</v>
      </c>
      <c r="D244" s="8">
        <v>46167</v>
      </c>
      <c r="E244" t="s">
        <v>1660</v>
      </c>
      <c r="F244" t="s">
        <v>2123</v>
      </c>
      <c r="G244" s="6">
        <v>15488</v>
      </c>
      <c r="H244" t="s">
        <v>1656</v>
      </c>
      <c r="J244" s="8">
        <v>46177</v>
      </c>
      <c r="K244">
        <v>0</v>
      </c>
    </row>
    <row r="245" spans="1:11" x14ac:dyDescent="0.35">
      <c r="A245" t="s">
        <v>2124</v>
      </c>
      <c r="B245" t="s">
        <v>1388</v>
      </c>
      <c r="C245" t="s">
        <v>83</v>
      </c>
      <c r="D245" s="8">
        <v>46045</v>
      </c>
      <c r="E245" t="s">
        <v>1651</v>
      </c>
      <c r="F245" t="s">
        <v>2125</v>
      </c>
      <c r="G245" s="6">
        <v>13580</v>
      </c>
      <c r="H245" t="s">
        <v>1656</v>
      </c>
      <c r="J245" s="8">
        <v>46053</v>
      </c>
      <c r="K245">
        <v>0</v>
      </c>
    </row>
    <row r="246" spans="1:11" x14ac:dyDescent="0.35">
      <c r="A246" t="s">
        <v>2126</v>
      </c>
      <c r="B246" t="s">
        <v>1454</v>
      </c>
      <c r="C246" t="s">
        <v>304</v>
      </c>
      <c r="D246" s="8">
        <v>46071</v>
      </c>
      <c r="E246" t="s">
        <v>1651</v>
      </c>
      <c r="F246" t="s">
        <v>2127</v>
      </c>
      <c r="G246" s="6">
        <v>7947</v>
      </c>
      <c r="H246" t="s">
        <v>1656</v>
      </c>
      <c r="J246" s="8">
        <v>46088</v>
      </c>
      <c r="K246">
        <v>0</v>
      </c>
    </row>
    <row r="247" spans="1:11" x14ac:dyDescent="0.35">
      <c r="A247" t="s">
        <v>2128</v>
      </c>
      <c r="B247" t="s">
        <v>803</v>
      </c>
      <c r="C247" t="s">
        <v>445</v>
      </c>
      <c r="D247" s="8">
        <v>46146</v>
      </c>
      <c r="E247" t="s">
        <v>1651</v>
      </c>
      <c r="F247" t="s">
        <v>2129</v>
      </c>
      <c r="G247" s="6">
        <v>2278</v>
      </c>
      <c r="H247" t="s">
        <v>1653</v>
      </c>
      <c r="J247" s="8">
        <v>46169</v>
      </c>
      <c r="K247">
        <v>0</v>
      </c>
    </row>
    <row r="248" spans="1:11" x14ac:dyDescent="0.35">
      <c r="A248" t="s">
        <v>2130</v>
      </c>
      <c r="B248" t="s">
        <v>649</v>
      </c>
      <c r="C248" t="s">
        <v>333</v>
      </c>
      <c r="D248" s="8">
        <v>46089</v>
      </c>
      <c r="E248" t="s">
        <v>1651</v>
      </c>
      <c r="F248" t="s">
        <v>2131</v>
      </c>
      <c r="G248" s="6">
        <v>6973</v>
      </c>
      <c r="H248" t="s">
        <v>1653</v>
      </c>
      <c r="J248" s="8">
        <v>46092</v>
      </c>
      <c r="K248">
        <v>0</v>
      </c>
    </row>
    <row r="249" spans="1:11" x14ac:dyDescent="0.35">
      <c r="A249" t="s">
        <v>2132</v>
      </c>
      <c r="B249" t="s">
        <v>1374</v>
      </c>
      <c r="C249" t="s">
        <v>351</v>
      </c>
      <c r="D249" s="8">
        <v>46116</v>
      </c>
      <c r="E249" t="s">
        <v>1663</v>
      </c>
      <c r="F249" t="s">
        <v>2133</v>
      </c>
      <c r="G249" s="6">
        <v>5977</v>
      </c>
      <c r="H249" t="s">
        <v>1656</v>
      </c>
      <c r="J249" s="8">
        <v>46123</v>
      </c>
      <c r="K249">
        <v>0</v>
      </c>
    </row>
    <row r="250" spans="1:11" x14ac:dyDescent="0.35">
      <c r="A250" t="s">
        <v>2134</v>
      </c>
      <c r="B250" t="s">
        <v>1256</v>
      </c>
      <c r="C250" t="s">
        <v>237</v>
      </c>
      <c r="D250" s="8">
        <v>46121</v>
      </c>
      <c r="E250" t="s">
        <v>1651</v>
      </c>
      <c r="F250" t="s">
        <v>2135</v>
      </c>
      <c r="G250" s="6">
        <v>6179</v>
      </c>
      <c r="H250" t="s">
        <v>1656</v>
      </c>
      <c r="J250" s="8">
        <v>46130</v>
      </c>
      <c r="K250">
        <v>0</v>
      </c>
    </row>
    <row r="251" spans="1:11" x14ac:dyDescent="0.35">
      <c r="A251" t="s">
        <v>2136</v>
      </c>
      <c r="B251" t="s">
        <v>1238</v>
      </c>
      <c r="C251" t="s">
        <v>210</v>
      </c>
      <c r="D251" s="8">
        <v>46167</v>
      </c>
      <c r="E251" t="s">
        <v>1651</v>
      </c>
      <c r="F251" t="s">
        <v>2137</v>
      </c>
      <c r="G251" s="6">
        <v>17734</v>
      </c>
      <c r="H251" t="s">
        <v>1656</v>
      </c>
      <c r="J251" s="8">
        <v>46166</v>
      </c>
      <c r="K251">
        <v>0</v>
      </c>
    </row>
    <row r="252" spans="1:11" x14ac:dyDescent="0.35">
      <c r="A252" t="s">
        <v>2138</v>
      </c>
      <c r="B252" t="s">
        <v>1248</v>
      </c>
      <c r="C252" t="s">
        <v>397</v>
      </c>
      <c r="D252" s="8">
        <v>46063</v>
      </c>
      <c r="E252" t="s">
        <v>1663</v>
      </c>
      <c r="F252" t="s">
        <v>2139</v>
      </c>
      <c r="G252" s="6">
        <v>12995</v>
      </c>
      <c r="H252" t="s">
        <v>1656</v>
      </c>
      <c r="J252" s="8">
        <v>46070</v>
      </c>
      <c r="K252">
        <v>0</v>
      </c>
    </row>
    <row r="253" spans="1:11" x14ac:dyDescent="0.35">
      <c r="A253" t="s">
        <v>2140</v>
      </c>
      <c r="B253" t="s">
        <v>987</v>
      </c>
      <c r="C253" t="s">
        <v>463</v>
      </c>
      <c r="D253" s="8">
        <v>46123</v>
      </c>
      <c r="E253" t="s">
        <v>1663</v>
      </c>
      <c r="F253" t="s">
        <v>2141</v>
      </c>
      <c r="G253" s="6">
        <v>15492</v>
      </c>
      <c r="H253" t="s">
        <v>1656</v>
      </c>
      <c r="J253" s="8">
        <v>46145</v>
      </c>
      <c r="K253">
        <v>0</v>
      </c>
    </row>
    <row r="254" spans="1:11" x14ac:dyDescent="0.35">
      <c r="A254" t="s">
        <v>2142</v>
      </c>
      <c r="B254" t="s">
        <v>1116</v>
      </c>
      <c r="C254" t="s">
        <v>240</v>
      </c>
      <c r="E254" t="s">
        <v>1651</v>
      </c>
      <c r="G254" s="6">
        <v>17573</v>
      </c>
      <c r="H254" t="s">
        <v>1667</v>
      </c>
      <c r="I254" t="s">
        <v>1742</v>
      </c>
      <c r="J254" s="8">
        <v>46158</v>
      </c>
      <c r="K254">
        <v>12</v>
      </c>
    </row>
    <row r="255" spans="1:11" x14ac:dyDescent="0.35">
      <c r="A255" t="s">
        <v>2143</v>
      </c>
      <c r="B255" t="s">
        <v>879</v>
      </c>
      <c r="C255" t="s">
        <v>375</v>
      </c>
      <c r="D255" s="8">
        <v>46134</v>
      </c>
      <c r="E255" t="s">
        <v>1663</v>
      </c>
      <c r="F255" t="s">
        <v>2144</v>
      </c>
      <c r="G255" s="6">
        <v>5954</v>
      </c>
      <c r="H255" t="s">
        <v>1656</v>
      </c>
      <c r="J255" s="8">
        <v>46144</v>
      </c>
      <c r="K255">
        <v>0</v>
      </c>
    </row>
    <row r="256" spans="1:11" x14ac:dyDescent="0.35">
      <c r="A256" t="s">
        <v>2145</v>
      </c>
      <c r="B256" t="s">
        <v>753</v>
      </c>
      <c r="C256" t="s">
        <v>473</v>
      </c>
      <c r="D256" s="8">
        <v>46131</v>
      </c>
      <c r="E256" t="s">
        <v>1651</v>
      </c>
      <c r="F256" t="s">
        <v>2146</v>
      </c>
      <c r="G256" s="6">
        <v>7058</v>
      </c>
      <c r="H256" t="s">
        <v>1656</v>
      </c>
      <c r="J256" s="8">
        <v>46144</v>
      </c>
      <c r="K256">
        <v>0</v>
      </c>
    </row>
    <row r="257" spans="1:11" x14ac:dyDescent="0.35">
      <c r="A257" t="s">
        <v>2147</v>
      </c>
      <c r="B257" t="s">
        <v>1610</v>
      </c>
      <c r="C257" t="s">
        <v>328</v>
      </c>
      <c r="D257" s="8">
        <v>46071</v>
      </c>
      <c r="E257" t="s">
        <v>1663</v>
      </c>
      <c r="F257" t="s">
        <v>2148</v>
      </c>
      <c r="G257" s="6">
        <v>14431</v>
      </c>
      <c r="H257" t="s">
        <v>1656</v>
      </c>
      <c r="J257" s="8">
        <v>46079</v>
      </c>
      <c r="K257">
        <v>0</v>
      </c>
    </row>
    <row r="258" spans="1:11" x14ac:dyDescent="0.35">
      <c r="A258" t="s">
        <v>2149</v>
      </c>
      <c r="B258" t="s">
        <v>1554</v>
      </c>
      <c r="C258" t="s">
        <v>155</v>
      </c>
      <c r="D258" s="8">
        <v>46097</v>
      </c>
      <c r="E258" t="s">
        <v>1660</v>
      </c>
      <c r="F258" t="s">
        <v>2150</v>
      </c>
      <c r="G258" s="6">
        <v>3977</v>
      </c>
      <c r="H258" t="s">
        <v>1656</v>
      </c>
      <c r="J258" s="8">
        <v>46120</v>
      </c>
      <c r="K258">
        <v>0</v>
      </c>
    </row>
    <row r="259" spans="1:11" x14ac:dyDescent="0.35">
      <c r="A259" t="s">
        <v>2151</v>
      </c>
      <c r="B259" t="s">
        <v>981</v>
      </c>
      <c r="C259" t="s">
        <v>252</v>
      </c>
      <c r="D259" s="8">
        <v>46171</v>
      </c>
      <c r="E259" t="s">
        <v>1660</v>
      </c>
      <c r="F259" t="s">
        <v>2152</v>
      </c>
      <c r="G259" s="6">
        <v>10343</v>
      </c>
      <c r="H259" t="s">
        <v>1653</v>
      </c>
      <c r="J259" s="8">
        <v>46175</v>
      </c>
      <c r="K259">
        <v>0</v>
      </c>
    </row>
    <row r="260" spans="1:11" x14ac:dyDescent="0.35">
      <c r="A260" t="s">
        <v>2153</v>
      </c>
      <c r="B260" t="s">
        <v>1466</v>
      </c>
      <c r="C260" t="s">
        <v>466</v>
      </c>
      <c r="D260" s="8">
        <v>46160</v>
      </c>
      <c r="E260" t="s">
        <v>1660</v>
      </c>
      <c r="F260" t="s">
        <v>2154</v>
      </c>
      <c r="G260" s="6">
        <v>1850</v>
      </c>
      <c r="H260" t="s">
        <v>1656</v>
      </c>
      <c r="J260" s="8">
        <v>46167</v>
      </c>
      <c r="K260">
        <v>0</v>
      </c>
    </row>
    <row r="261" spans="1:11" x14ac:dyDescent="0.35">
      <c r="A261" t="s">
        <v>2155</v>
      </c>
      <c r="B261" t="s">
        <v>1616</v>
      </c>
      <c r="C261" t="s">
        <v>35</v>
      </c>
      <c r="D261" s="8">
        <v>46149</v>
      </c>
      <c r="E261" t="s">
        <v>1651</v>
      </c>
      <c r="F261" t="s">
        <v>2156</v>
      </c>
      <c r="G261" s="6">
        <v>379</v>
      </c>
      <c r="H261" t="s">
        <v>1656</v>
      </c>
      <c r="J261" s="8">
        <v>46158</v>
      </c>
      <c r="K261">
        <v>0</v>
      </c>
    </row>
    <row r="262" spans="1:11" x14ac:dyDescent="0.35">
      <c r="A262" t="s">
        <v>2157</v>
      </c>
      <c r="B262" t="s">
        <v>973</v>
      </c>
      <c r="C262" t="s">
        <v>120</v>
      </c>
      <c r="D262" s="8">
        <v>46137</v>
      </c>
      <c r="E262" t="s">
        <v>1663</v>
      </c>
      <c r="F262" t="s">
        <v>2158</v>
      </c>
      <c r="G262" s="6">
        <v>3335</v>
      </c>
      <c r="H262" t="s">
        <v>1653</v>
      </c>
      <c r="J262" s="8">
        <v>46157</v>
      </c>
      <c r="K262">
        <v>0</v>
      </c>
    </row>
    <row r="263" spans="1:11" x14ac:dyDescent="0.35">
      <c r="A263" t="s">
        <v>2159</v>
      </c>
      <c r="B263" t="s">
        <v>721</v>
      </c>
      <c r="C263" t="s">
        <v>293</v>
      </c>
      <c r="D263" s="8">
        <v>46101</v>
      </c>
      <c r="E263" t="s">
        <v>1651</v>
      </c>
      <c r="F263" t="s">
        <v>2160</v>
      </c>
      <c r="G263" s="6">
        <v>20649</v>
      </c>
      <c r="H263" t="s">
        <v>1656</v>
      </c>
      <c r="J263" s="8">
        <v>46100</v>
      </c>
      <c r="K263">
        <v>0</v>
      </c>
    </row>
    <row r="264" spans="1:11" x14ac:dyDescent="0.35">
      <c r="A264" t="s">
        <v>2161</v>
      </c>
      <c r="B264" t="s">
        <v>981</v>
      </c>
      <c r="C264" t="s">
        <v>161</v>
      </c>
      <c r="D264" s="8">
        <v>46129</v>
      </c>
      <c r="E264" t="s">
        <v>1663</v>
      </c>
      <c r="F264" t="s">
        <v>2162</v>
      </c>
      <c r="G264" s="6">
        <v>15515</v>
      </c>
      <c r="H264" t="s">
        <v>1656</v>
      </c>
      <c r="J264" s="8">
        <v>46127</v>
      </c>
      <c r="K264">
        <v>0</v>
      </c>
    </row>
    <row r="265" spans="1:11" x14ac:dyDescent="0.35">
      <c r="A265" t="s">
        <v>2163</v>
      </c>
      <c r="B265" t="s">
        <v>713</v>
      </c>
      <c r="C265" t="s">
        <v>319</v>
      </c>
      <c r="D265" s="8">
        <v>46075</v>
      </c>
      <c r="E265" t="s">
        <v>1651</v>
      </c>
      <c r="F265" t="s">
        <v>2164</v>
      </c>
      <c r="G265" s="6">
        <v>1941</v>
      </c>
      <c r="H265" t="s">
        <v>1656</v>
      </c>
      <c r="J265" s="8">
        <v>46077</v>
      </c>
      <c r="K265">
        <v>0</v>
      </c>
    </row>
    <row r="266" spans="1:11" x14ac:dyDescent="0.35">
      <c r="A266" t="s">
        <v>2165</v>
      </c>
      <c r="B266" t="s">
        <v>1616</v>
      </c>
      <c r="C266" t="s">
        <v>354</v>
      </c>
      <c r="D266" s="8">
        <v>46084</v>
      </c>
      <c r="E266" t="s">
        <v>1651</v>
      </c>
      <c r="F266" t="s">
        <v>2166</v>
      </c>
      <c r="G266" s="6">
        <v>5948</v>
      </c>
      <c r="H266" t="s">
        <v>1656</v>
      </c>
      <c r="J266" s="8">
        <v>46084</v>
      </c>
      <c r="K266">
        <v>0</v>
      </c>
    </row>
    <row r="267" spans="1:11" x14ac:dyDescent="0.35">
      <c r="A267" t="s">
        <v>2167</v>
      </c>
      <c r="B267" t="s">
        <v>1156</v>
      </c>
      <c r="C267" t="s">
        <v>307</v>
      </c>
      <c r="D267" s="8">
        <v>46145</v>
      </c>
      <c r="E267" t="s">
        <v>1651</v>
      </c>
      <c r="F267" t="s">
        <v>2168</v>
      </c>
      <c r="G267" s="6">
        <v>20792</v>
      </c>
      <c r="H267" t="s">
        <v>1656</v>
      </c>
      <c r="J267" s="8">
        <v>46153</v>
      </c>
      <c r="K267">
        <v>0</v>
      </c>
    </row>
    <row r="268" spans="1:11" x14ac:dyDescent="0.35">
      <c r="A268" t="s">
        <v>2169</v>
      </c>
      <c r="B268" t="s">
        <v>1244</v>
      </c>
      <c r="C268" t="s">
        <v>296</v>
      </c>
      <c r="D268" s="8">
        <v>46058</v>
      </c>
      <c r="E268" t="s">
        <v>1660</v>
      </c>
      <c r="F268" t="s">
        <v>2170</v>
      </c>
      <c r="G268" s="6">
        <v>9090</v>
      </c>
      <c r="H268" t="s">
        <v>1656</v>
      </c>
      <c r="J268" s="8">
        <v>46052</v>
      </c>
      <c r="K268">
        <v>0</v>
      </c>
    </row>
    <row r="269" spans="1:11" x14ac:dyDescent="0.35">
      <c r="A269" t="s">
        <v>2171</v>
      </c>
      <c r="B269" t="s">
        <v>866</v>
      </c>
      <c r="C269" t="s">
        <v>48</v>
      </c>
      <c r="D269" s="8">
        <v>46060</v>
      </c>
      <c r="E269" t="s">
        <v>1651</v>
      </c>
      <c r="F269" t="s">
        <v>2172</v>
      </c>
      <c r="G269" s="6">
        <v>2597</v>
      </c>
      <c r="H269" t="s">
        <v>1656</v>
      </c>
      <c r="J269" s="8">
        <v>46086</v>
      </c>
      <c r="K269">
        <v>0</v>
      </c>
    </row>
    <row r="270" spans="1:11" x14ac:dyDescent="0.35">
      <c r="A270" t="s">
        <v>2173</v>
      </c>
      <c r="B270" t="s">
        <v>715</v>
      </c>
      <c r="C270" t="s">
        <v>493</v>
      </c>
      <c r="D270" s="8">
        <v>46078</v>
      </c>
      <c r="E270" t="s">
        <v>1651</v>
      </c>
      <c r="F270" t="s">
        <v>2174</v>
      </c>
      <c r="G270" s="6">
        <v>12760</v>
      </c>
      <c r="H270" t="s">
        <v>1656</v>
      </c>
      <c r="J270" s="8">
        <v>46090</v>
      </c>
      <c r="K270">
        <v>0</v>
      </c>
    </row>
    <row r="271" spans="1:11" x14ac:dyDescent="0.35">
      <c r="A271" t="s">
        <v>2175</v>
      </c>
      <c r="B271" t="s">
        <v>849</v>
      </c>
      <c r="C271" t="s">
        <v>117</v>
      </c>
      <c r="E271" t="s">
        <v>1660</v>
      </c>
      <c r="G271" s="6">
        <v>21345</v>
      </c>
      <c r="H271" t="s">
        <v>671</v>
      </c>
      <c r="I271" t="s">
        <v>1690</v>
      </c>
      <c r="J271" s="8">
        <v>46142</v>
      </c>
      <c r="K271">
        <v>28</v>
      </c>
    </row>
    <row r="272" spans="1:11" x14ac:dyDescent="0.35">
      <c r="A272" t="s">
        <v>2176</v>
      </c>
      <c r="B272" t="s">
        <v>1166</v>
      </c>
      <c r="C272" t="s">
        <v>342</v>
      </c>
      <c r="D272" s="8">
        <v>46113</v>
      </c>
      <c r="E272" t="s">
        <v>1651</v>
      </c>
      <c r="F272" t="s">
        <v>2177</v>
      </c>
      <c r="G272" s="6">
        <v>19599</v>
      </c>
      <c r="H272" t="s">
        <v>1656</v>
      </c>
      <c r="J272" s="8">
        <v>46129</v>
      </c>
      <c r="K272">
        <v>0</v>
      </c>
    </row>
    <row r="273" spans="1:11" x14ac:dyDescent="0.35">
      <c r="A273" t="s">
        <v>2178</v>
      </c>
      <c r="B273" t="s">
        <v>684</v>
      </c>
      <c r="C273" t="s">
        <v>522</v>
      </c>
      <c r="D273" s="8">
        <v>46133</v>
      </c>
      <c r="E273" t="s">
        <v>1651</v>
      </c>
      <c r="F273" t="s">
        <v>2179</v>
      </c>
      <c r="G273" s="6">
        <v>19536</v>
      </c>
      <c r="H273" t="s">
        <v>1656</v>
      </c>
      <c r="J273" s="8">
        <v>46136</v>
      </c>
      <c r="K273">
        <v>0</v>
      </c>
    </row>
    <row r="274" spans="1:11" x14ac:dyDescent="0.35">
      <c r="A274" t="s">
        <v>2180</v>
      </c>
      <c r="B274" t="s">
        <v>1538</v>
      </c>
      <c r="C274" t="s">
        <v>266</v>
      </c>
      <c r="D274" s="8">
        <v>46146</v>
      </c>
      <c r="E274" t="s">
        <v>1663</v>
      </c>
      <c r="F274" t="s">
        <v>2181</v>
      </c>
      <c r="G274" s="6">
        <v>3043</v>
      </c>
      <c r="H274" t="s">
        <v>1656</v>
      </c>
      <c r="J274" s="8">
        <v>46164</v>
      </c>
      <c r="K274">
        <v>0</v>
      </c>
    </row>
    <row r="275" spans="1:11" x14ac:dyDescent="0.35">
      <c r="A275" t="s">
        <v>2182</v>
      </c>
      <c r="B275" t="s">
        <v>695</v>
      </c>
      <c r="C275" t="s">
        <v>252</v>
      </c>
      <c r="D275" s="8">
        <v>46172</v>
      </c>
      <c r="E275" t="s">
        <v>1663</v>
      </c>
      <c r="F275" t="s">
        <v>2183</v>
      </c>
      <c r="G275" s="6">
        <v>2478</v>
      </c>
      <c r="H275" t="s">
        <v>1656</v>
      </c>
      <c r="J275" s="8">
        <v>46174</v>
      </c>
      <c r="K275">
        <v>0</v>
      </c>
    </row>
    <row r="276" spans="1:11" x14ac:dyDescent="0.35">
      <c r="A276" t="s">
        <v>2184</v>
      </c>
      <c r="B276" t="s">
        <v>753</v>
      </c>
      <c r="C276" t="s">
        <v>369</v>
      </c>
      <c r="D276" s="8">
        <v>46119</v>
      </c>
      <c r="E276" t="s">
        <v>1651</v>
      </c>
      <c r="F276" t="s">
        <v>2185</v>
      </c>
      <c r="G276" s="6">
        <v>18149</v>
      </c>
      <c r="H276" t="s">
        <v>1656</v>
      </c>
      <c r="J276" s="8">
        <v>46134</v>
      </c>
      <c r="K276">
        <v>0</v>
      </c>
    </row>
    <row r="277" spans="1:11" x14ac:dyDescent="0.35">
      <c r="A277" t="s">
        <v>2186</v>
      </c>
      <c r="B277" t="s">
        <v>1350</v>
      </c>
      <c r="C277" t="s">
        <v>237</v>
      </c>
      <c r="D277" s="8">
        <v>46077</v>
      </c>
      <c r="E277" t="s">
        <v>1660</v>
      </c>
      <c r="F277" t="s">
        <v>2187</v>
      </c>
      <c r="G277" s="6">
        <v>21227</v>
      </c>
      <c r="H277" t="s">
        <v>1656</v>
      </c>
      <c r="J277" s="8">
        <v>46104</v>
      </c>
      <c r="K277">
        <v>0</v>
      </c>
    </row>
    <row r="278" spans="1:11" x14ac:dyDescent="0.35">
      <c r="A278" t="s">
        <v>2188</v>
      </c>
      <c r="B278" t="s">
        <v>1290</v>
      </c>
      <c r="C278" t="s">
        <v>278</v>
      </c>
      <c r="E278" t="s">
        <v>1651</v>
      </c>
      <c r="G278" s="6">
        <v>9478</v>
      </c>
      <c r="H278" t="s">
        <v>1667</v>
      </c>
      <c r="I278" t="s">
        <v>1690</v>
      </c>
      <c r="J278" s="8">
        <v>46135</v>
      </c>
      <c r="K278">
        <v>35</v>
      </c>
    </row>
    <row r="279" spans="1:11" x14ac:dyDescent="0.35">
      <c r="A279" t="s">
        <v>2189</v>
      </c>
      <c r="B279" t="s">
        <v>875</v>
      </c>
      <c r="C279" t="s">
        <v>210</v>
      </c>
      <c r="D279" s="8">
        <v>46173</v>
      </c>
      <c r="E279" t="s">
        <v>1663</v>
      </c>
      <c r="F279" t="s">
        <v>2190</v>
      </c>
      <c r="G279" s="6">
        <v>14433</v>
      </c>
      <c r="H279" t="s">
        <v>1656</v>
      </c>
      <c r="J279" s="8">
        <v>46190</v>
      </c>
      <c r="K279">
        <v>0</v>
      </c>
    </row>
    <row r="280" spans="1:11" x14ac:dyDescent="0.35">
      <c r="A280" t="s">
        <v>2191</v>
      </c>
      <c r="B280" t="s">
        <v>1100</v>
      </c>
      <c r="C280" t="s">
        <v>322</v>
      </c>
      <c r="D280" s="8">
        <v>46061</v>
      </c>
      <c r="E280" t="s">
        <v>1651</v>
      </c>
      <c r="F280" t="s">
        <v>2192</v>
      </c>
      <c r="G280" s="6">
        <v>10720</v>
      </c>
      <c r="H280" t="s">
        <v>1653</v>
      </c>
      <c r="J280" s="8">
        <v>46072</v>
      </c>
      <c r="K280">
        <v>0</v>
      </c>
    </row>
    <row r="281" spans="1:11" x14ac:dyDescent="0.35">
      <c r="A281" t="s">
        <v>2193</v>
      </c>
      <c r="B281" t="s">
        <v>678</v>
      </c>
      <c r="C281" t="s">
        <v>204</v>
      </c>
      <c r="D281" s="8">
        <v>46156</v>
      </c>
      <c r="E281" t="s">
        <v>1651</v>
      </c>
      <c r="F281" t="s">
        <v>2194</v>
      </c>
      <c r="G281" s="6">
        <v>12858</v>
      </c>
      <c r="H281" t="s">
        <v>1656</v>
      </c>
      <c r="J281" s="8">
        <v>46177</v>
      </c>
      <c r="K281">
        <v>0</v>
      </c>
    </row>
    <row r="282" spans="1:11" x14ac:dyDescent="0.35">
      <c r="A282" t="s">
        <v>2195</v>
      </c>
      <c r="B282" t="s">
        <v>1096</v>
      </c>
      <c r="C282" t="s">
        <v>463</v>
      </c>
      <c r="D282" s="8">
        <v>46150</v>
      </c>
      <c r="E282" t="s">
        <v>1651</v>
      </c>
      <c r="F282" t="s">
        <v>2196</v>
      </c>
      <c r="G282" s="6">
        <v>17970</v>
      </c>
      <c r="H282" t="s">
        <v>1656</v>
      </c>
      <c r="J282" s="8">
        <v>46158</v>
      </c>
      <c r="K282">
        <v>0</v>
      </c>
    </row>
    <row r="283" spans="1:11" x14ac:dyDescent="0.35">
      <c r="A283" t="s">
        <v>2197</v>
      </c>
      <c r="B283" t="s">
        <v>1354</v>
      </c>
      <c r="C283" t="s">
        <v>60</v>
      </c>
      <c r="E283" t="s">
        <v>1663</v>
      </c>
      <c r="F283" t="s">
        <v>2198</v>
      </c>
      <c r="G283" s="6">
        <v>14347</v>
      </c>
      <c r="H283" t="s">
        <v>1667</v>
      </c>
      <c r="I283" t="s">
        <v>1693</v>
      </c>
      <c r="J283" s="8">
        <v>46148</v>
      </c>
      <c r="K283">
        <v>22</v>
      </c>
    </row>
    <row r="284" spans="1:11" x14ac:dyDescent="0.35">
      <c r="A284" t="s">
        <v>2199</v>
      </c>
      <c r="B284" t="s">
        <v>1492</v>
      </c>
      <c r="C284" t="s">
        <v>65</v>
      </c>
      <c r="E284" t="s">
        <v>1660</v>
      </c>
      <c r="G284" s="6">
        <v>9977</v>
      </c>
      <c r="H284" t="s">
        <v>671</v>
      </c>
      <c r="I284" t="s">
        <v>1704</v>
      </c>
      <c r="J284" s="8">
        <v>46077</v>
      </c>
      <c r="K284">
        <v>93</v>
      </c>
    </row>
    <row r="285" spans="1:11" x14ac:dyDescent="0.35">
      <c r="A285" t="s">
        <v>2200</v>
      </c>
      <c r="B285" t="s">
        <v>1550</v>
      </c>
      <c r="C285" t="s">
        <v>351</v>
      </c>
      <c r="D285" s="8">
        <v>46087</v>
      </c>
      <c r="E285" t="s">
        <v>1651</v>
      </c>
      <c r="F285" t="s">
        <v>2201</v>
      </c>
      <c r="G285" s="6">
        <v>12134</v>
      </c>
      <c r="H285" t="s">
        <v>1656</v>
      </c>
      <c r="J285" s="8">
        <v>46090</v>
      </c>
      <c r="K285">
        <v>0</v>
      </c>
    </row>
    <row r="286" spans="1:11" x14ac:dyDescent="0.35">
      <c r="A286" t="s">
        <v>2202</v>
      </c>
      <c r="B286" t="s">
        <v>1506</v>
      </c>
      <c r="C286" t="s">
        <v>533</v>
      </c>
      <c r="D286" s="8">
        <v>46169</v>
      </c>
      <c r="E286" t="s">
        <v>1651</v>
      </c>
      <c r="F286" t="s">
        <v>2203</v>
      </c>
      <c r="G286" s="6">
        <v>14644</v>
      </c>
      <c r="H286" t="s">
        <v>1656</v>
      </c>
      <c r="J286" s="8">
        <v>46185</v>
      </c>
      <c r="K286">
        <v>0</v>
      </c>
    </row>
    <row r="287" spans="1:11" x14ac:dyDescent="0.35">
      <c r="A287" t="s">
        <v>2204</v>
      </c>
      <c r="B287" t="s">
        <v>779</v>
      </c>
      <c r="C287" t="s">
        <v>293</v>
      </c>
      <c r="D287" s="8">
        <v>46072</v>
      </c>
      <c r="E287" t="s">
        <v>1651</v>
      </c>
      <c r="F287" t="s">
        <v>2205</v>
      </c>
      <c r="G287" s="6">
        <v>20172</v>
      </c>
      <c r="H287" t="s">
        <v>1656</v>
      </c>
      <c r="J287" s="8">
        <v>46073</v>
      </c>
      <c r="K287">
        <v>0</v>
      </c>
    </row>
    <row r="288" spans="1:11" x14ac:dyDescent="0.35">
      <c r="A288" t="s">
        <v>2206</v>
      </c>
      <c r="B288" t="s">
        <v>692</v>
      </c>
      <c r="C288" t="s">
        <v>530</v>
      </c>
      <c r="D288" s="8">
        <v>46073</v>
      </c>
      <c r="E288" t="s">
        <v>1651</v>
      </c>
      <c r="F288" t="s">
        <v>2207</v>
      </c>
      <c r="G288" s="6">
        <v>9128</v>
      </c>
      <c r="H288" t="s">
        <v>1656</v>
      </c>
      <c r="J288" s="8">
        <v>46097</v>
      </c>
      <c r="K288">
        <v>0</v>
      </c>
    </row>
    <row r="289" spans="1:11" x14ac:dyDescent="0.35">
      <c r="A289" t="s">
        <v>2208</v>
      </c>
      <c r="B289" t="s">
        <v>1036</v>
      </c>
      <c r="C289" t="s">
        <v>496</v>
      </c>
      <c r="D289" s="8">
        <v>46132</v>
      </c>
      <c r="E289" t="s">
        <v>1651</v>
      </c>
      <c r="F289" t="s">
        <v>2209</v>
      </c>
      <c r="G289" s="6">
        <v>13860</v>
      </c>
      <c r="H289" t="s">
        <v>1656</v>
      </c>
      <c r="J289" s="8">
        <v>46129</v>
      </c>
      <c r="K289">
        <v>0</v>
      </c>
    </row>
    <row r="290" spans="1:11" x14ac:dyDescent="0.35">
      <c r="A290" t="s">
        <v>2210</v>
      </c>
      <c r="B290" t="s">
        <v>981</v>
      </c>
      <c r="C290" t="s">
        <v>511</v>
      </c>
      <c r="D290" s="8">
        <v>46144</v>
      </c>
      <c r="E290" t="s">
        <v>1651</v>
      </c>
      <c r="F290" t="s">
        <v>2211</v>
      </c>
      <c r="G290" s="6">
        <v>12581</v>
      </c>
      <c r="H290" t="s">
        <v>1656</v>
      </c>
      <c r="J290" s="8">
        <v>46144</v>
      </c>
      <c r="K290">
        <v>0</v>
      </c>
    </row>
    <row r="291" spans="1:11" x14ac:dyDescent="0.35">
      <c r="A291" t="s">
        <v>2212</v>
      </c>
      <c r="B291" t="s">
        <v>603</v>
      </c>
      <c r="C291" t="s">
        <v>383</v>
      </c>
      <c r="D291" s="8">
        <v>46108</v>
      </c>
      <c r="E291" t="s">
        <v>1663</v>
      </c>
      <c r="F291" t="s">
        <v>2213</v>
      </c>
      <c r="G291" s="6">
        <v>14260</v>
      </c>
      <c r="H291" t="s">
        <v>1656</v>
      </c>
      <c r="J291" s="8">
        <v>46129</v>
      </c>
      <c r="K291">
        <v>0</v>
      </c>
    </row>
    <row r="292" spans="1:11" x14ac:dyDescent="0.35">
      <c r="A292" t="s">
        <v>2214</v>
      </c>
      <c r="B292" t="s">
        <v>1174</v>
      </c>
      <c r="C292" t="s">
        <v>284</v>
      </c>
      <c r="D292" s="8">
        <v>46110</v>
      </c>
      <c r="E292" t="s">
        <v>1651</v>
      </c>
      <c r="F292" t="s">
        <v>2215</v>
      </c>
      <c r="G292" s="6">
        <v>8215</v>
      </c>
      <c r="H292" t="s">
        <v>1656</v>
      </c>
      <c r="J292" s="8">
        <v>46120</v>
      </c>
      <c r="K292">
        <v>0</v>
      </c>
    </row>
    <row r="293" spans="1:11" x14ac:dyDescent="0.35">
      <c r="A293" t="s">
        <v>2216</v>
      </c>
      <c r="B293" t="s">
        <v>680</v>
      </c>
      <c r="C293" t="s">
        <v>158</v>
      </c>
      <c r="D293" s="8">
        <v>46103</v>
      </c>
      <c r="E293" t="s">
        <v>1651</v>
      </c>
      <c r="F293" t="s">
        <v>2217</v>
      </c>
      <c r="G293" s="6">
        <v>2931</v>
      </c>
      <c r="H293" t="s">
        <v>1653</v>
      </c>
      <c r="J293" s="8">
        <v>46106</v>
      </c>
      <c r="K293">
        <v>0</v>
      </c>
    </row>
    <row r="294" spans="1:11" x14ac:dyDescent="0.35">
      <c r="A294" t="s">
        <v>2218</v>
      </c>
      <c r="B294" t="s">
        <v>1482</v>
      </c>
      <c r="C294" t="s">
        <v>397</v>
      </c>
      <c r="D294" s="8">
        <v>46064</v>
      </c>
      <c r="E294" t="s">
        <v>1663</v>
      </c>
      <c r="F294" t="s">
        <v>2219</v>
      </c>
      <c r="G294" s="6">
        <v>18698</v>
      </c>
      <c r="H294" t="s">
        <v>1656</v>
      </c>
      <c r="J294" s="8">
        <v>46058</v>
      </c>
      <c r="K294">
        <v>0</v>
      </c>
    </row>
    <row r="295" spans="1:11" x14ac:dyDescent="0.35">
      <c r="A295" t="s">
        <v>2220</v>
      </c>
      <c r="B295" t="s">
        <v>1358</v>
      </c>
      <c r="C295" t="s">
        <v>281</v>
      </c>
      <c r="D295" s="8">
        <v>46096</v>
      </c>
      <c r="E295" t="s">
        <v>1663</v>
      </c>
      <c r="F295" t="s">
        <v>2221</v>
      </c>
      <c r="G295" s="6">
        <v>19810</v>
      </c>
      <c r="H295" t="s">
        <v>1656</v>
      </c>
      <c r="J295" s="8">
        <v>46098</v>
      </c>
      <c r="K295">
        <v>0</v>
      </c>
    </row>
    <row r="296" spans="1:11" x14ac:dyDescent="0.35">
      <c r="A296" t="s">
        <v>2222</v>
      </c>
      <c r="B296" t="s">
        <v>1398</v>
      </c>
      <c r="C296" t="s">
        <v>386</v>
      </c>
      <c r="D296" s="8">
        <v>46085</v>
      </c>
      <c r="E296" t="s">
        <v>1651</v>
      </c>
      <c r="F296" t="s">
        <v>2223</v>
      </c>
      <c r="G296" s="6">
        <v>4524</v>
      </c>
      <c r="H296" t="s">
        <v>1656</v>
      </c>
      <c r="J296" s="8">
        <v>46096</v>
      </c>
      <c r="K296">
        <v>0</v>
      </c>
    </row>
    <row r="297" spans="1:11" x14ac:dyDescent="0.35">
      <c r="A297" t="s">
        <v>2224</v>
      </c>
      <c r="B297" t="s">
        <v>947</v>
      </c>
      <c r="C297" t="s">
        <v>190</v>
      </c>
      <c r="E297" t="s">
        <v>1651</v>
      </c>
      <c r="G297" s="6">
        <v>2255</v>
      </c>
      <c r="H297" t="s">
        <v>1667</v>
      </c>
      <c r="I297" t="s">
        <v>1693</v>
      </c>
      <c r="J297" s="8">
        <v>46138</v>
      </c>
      <c r="K297">
        <v>32</v>
      </c>
    </row>
    <row r="298" spans="1:11" x14ac:dyDescent="0.35">
      <c r="A298" t="s">
        <v>2225</v>
      </c>
      <c r="B298" t="s">
        <v>1194</v>
      </c>
      <c r="C298" t="s">
        <v>94</v>
      </c>
      <c r="D298" s="8">
        <v>46148</v>
      </c>
      <c r="E298" t="s">
        <v>1651</v>
      </c>
      <c r="F298" t="s">
        <v>2226</v>
      </c>
      <c r="G298" s="6">
        <v>10865</v>
      </c>
      <c r="H298" t="s">
        <v>1656</v>
      </c>
      <c r="J298" s="8">
        <v>46156</v>
      </c>
      <c r="K298">
        <v>0</v>
      </c>
    </row>
    <row r="299" spans="1:11" x14ac:dyDescent="0.35">
      <c r="A299" t="s">
        <v>2227</v>
      </c>
      <c r="B299" t="s">
        <v>1614</v>
      </c>
      <c r="C299" t="s">
        <v>366</v>
      </c>
      <c r="D299" s="8">
        <v>46098</v>
      </c>
      <c r="E299" t="s">
        <v>1651</v>
      </c>
      <c r="F299" t="s">
        <v>2228</v>
      </c>
      <c r="G299" s="6">
        <v>4440</v>
      </c>
      <c r="H299" t="s">
        <v>1656</v>
      </c>
      <c r="J299" s="8">
        <v>46107</v>
      </c>
      <c r="K299">
        <v>0</v>
      </c>
    </row>
    <row r="300" spans="1:11" x14ac:dyDescent="0.35">
      <c r="A300" t="s">
        <v>2229</v>
      </c>
      <c r="B300" t="s">
        <v>1484</v>
      </c>
      <c r="C300" t="s">
        <v>296</v>
      </c>
      <c r="D300" s="8">
        <v>46104</v>
      </c>
      <c r="E300" t="s">
        <v>1651</v>
      </c>
      <c r="F300" t="s">
        <v>2230</v>
      </c>
      <c r="G300" s="6">
        <v>307</v>
      </c>
      <c r="H300" t="s">
        <v>1656</v>
      </c>
      <c r="J300" s="8">
        <v>46119</v>
      </c>
      <c r="K300">
        <v>0</v>
      </c>
    </row>
    <row r="301" spans="1:11" x14ac:dyDescent="0.35">
      <c r="A301" t="s">
        <v>2231</v>
      </c>
      <c r="B301" t="s">
        <v>1260</v>
      </c>
      <c r="C301" t="s">
        <v>246</v>
      </c>
      <c r="D301" s="8">
        <v>46048</v>
      </c>
      <c r="E301" t="s">
        <v>1651</v>
      </c>
      <c r="F301" t="s">
        <v>2232</v>
      </c>
      <c r="G301" s="6">
        <v>16732</v>
      </c>
      <c r="H301" t="s">
        <v>1656</v>
      </c>
      <c r="J301" s="8">
        <v>46055</v>
      </c>
      <c r="K301">
        <v>0</v>
      </c>
    </row>
    <row r="302" spans="1:11" x14ac:dyDescent="0.35">
      <c r="A302" t="s">
        <v>2233</v>
      </c>
      <c r="B302" t="s">
        <v>1444</v>
      </c>
      <c r="C302" t="s">
        <v>161</v>
      </c>
      <c r="D302" s="8">
        <v>46150</v>
      </c>
      <c r="E302" t="s">
        <v>1651</v>
      </c>
      <c r="F302" t="s">
        <v>2234</v>
      </c>
      <c r="G302" s="6">
        <v>15604</v>
      </c>
      <c r="H302" t="s">
        <v>1656</v>
      </c>
      <c r="J302" s="8">
        <v>46156</v>
      </c>
      <c r="K302">
        <v>0</v>
      </c>
    </row>
    <row r="303" spans="1:11" x14ac:dyDescent="0.35">
      <c r="A303" t="s">
        <v>2235</v>
      </c>
      <c r="B303" t="s">
        <v>1364</v>
      </c>
      <c r="C303" t="s">
        <v>443</v>
      </c>
      <c r="D303" s="8">
        <v>46036</v>
      </c>
      <c r="E303" t="s">
        <v>1651</v>
      </c>
      <c r="F303" t="s">
        <v>2236</v>
      </c>
      <c r="G303" s="6">
        <v>6044</v>
      </c>
      <c r="H303" t="s">
        <v>1656</v>
      </c>
      <c r="J303" s="8">
        <v>46051</v>
      </c>
      <c r="K303">
        <v>0</v>
      </c>
    </row>
    <row r="304" spans="1:11" x14ac:dyDescent="0.35">
      <c r="A304" t="s">
        <v>2237</v>
      </c>
      <c r="B304" t="s">
        <v>1500</v>
      </c>
      <c r="C304" t="s">
        <v>386</v>
      </c>
      <c r="E304" t="s">
        <v>1651</v>
      </c>
      <c r="F304" t="s">
        <v>2238</v>
      </c>
      <c r="G304" s="6">
        <v>3508</v>
      </c>
      <c r="H304" t="s">
        <v>1712</v>
      </c>
      <c r="I304" t="s">
        <v>1690</v>
      </c>
      <c r="J304" s="8">
        <v>46186</v>
      </c>
      <c r="K304">
        <v>0</v>
      </c>
    </row>
    <row r="305" spans="1:11" x14ac:dyDescent="0.35">
      <c r="A305" t="s">
        <v>2239</v>
      </c>
      <c r="B305" t="s">
        <v>1112</v>
      </c>
      <c r="C305" t="s">
        <v>218</v>
      </c>
      <c r="D305" s="8">
        <v>46059</v>
      </c>
      <c r="E305" t="s">
        <v>1651</v>
      </c>
      <c r="F305" t="s">
        <v>2240</v>
      </c>
      <c r="G305" s="6">
        <v>11021</v>
      </c>
      <c r="H305" t="s">
        <v>1656</v>
      </c>
      <c r="J305" s="8">
        <v>46074</v>
      </c>
      <c r="K305">
        <v>0</v>
      </c>
    </row>
    <row r="306" spans="1:11" x14ac:dyDescent="0.35">
      <c r="A306" t="s">
        <v>2241</v>
      </c>
      <c r="B306" t="s">
        <v>983</v>
      </c>
      <c r="C306" t="s">
        <v>190</v>
      </c>
      <c r="D306" s="8">
        <v>46054</v>
      </c>
      <c r="E306" t="s">
        <v>1663</v>
      </c>
      <c r="F306" t="s">
        <v>2242</v>
      </c>
      <c r="G306" s="6">
        <v>17431</v>
      </c>
      <c r="H306" t="s">
        <v>1656</v>
      </c>
      <c r="J306" s="8">
        <v>46064</v>
      </c>
      <c r="K306">
        <v>0</v>
      </c>
    </row>
    <row r="307" spans="1:11" x14ac:dyDescent="0.35">
      <c r="A307" t="s">
        <v>2243</v>
      </c>
      <c r="B307" t="s">
        <v>1448</v>
      </c>
      <c r="C307" t="s">
        <v>485</v>
      </c>
      <c r="D307" s="8">
        <v>46097</v>
      </c>
      <c r="E307" t="s">
        <v>1651</v>
      </c>
      <c r="F307" t="s">
        <v>2244</v>
      </c>
      <c r="G307" s="6">
        <v>19170</v>
      </c>
      <c r="H307" t="s">
        <v>1656</v>
      </c>
      <c r="J307" s="8">
        <v>46106</v>
      </c>
      <c r="K307">
        <v>0</v>
      </c>
    </row>
    <row r="308" spans="1:11" x14ac:dyDescent="0.35">
      <c r="A308" t="s">
        <v>2245</v>
      </c>
      <c r="B308" t="s">
        <v>939</v>
      </c>
      <c r="C308" t="s">
        <v>301</v>
      </c>
      <c r="D308" s="8">
        <v>46124</v>
      </c>
      <c r="E308" t="s">
        <v>1651</v>
      </c>
      <c r="F308" t="s">
        <v>2246</v>
      </c>
      <c r="G308" s="6">
        <v>11591</v>
      </c>
      <c r="H308" t="s">
        <v>1653</v>
      </c>
      <c r="J308" s="8">
        <v>46128</v>
      </c>
      <c r="K308">
        <v>0</v>
      </c>
    </row>
    <row r="309" spans="1:11" x14ac:dyDescent="0.35">
      <c r="A309" t="s">
        <v>2247</v>
      </c>
      <c r="B309" t="s">
        <v>1444</v>
      </c>
      <c r="C309" t="s">
        <v>539</v>
      </c>
      <c r="D309" s="8">
        <v>46172</v>
      </c>
      <c r="E309" t="s">
        <v>1660</v>
      </c>
      <c r="F309" t="s">
        <v>2248</v>
      </c>
      <c r="G309" s="6">
        <v>17215</v>
      </c>
      <c r="H309" t="s">
        <v>1656</v>
      </c>
      <c r="J309" s="8">
        <v>46191</v>
      </c>
      <c r="K309">
        <v>0</v>
      </c>
    </row>
    <row r="310" spans="1:11" x14ac:dyDescent="0.35">
      <c r="A310" t="s">
        <v>2249</v>
      </c>
      <c r="B310" t="s">
        <v>887</v>
      </c>
      <c r="C310" t="s">
        <v>372</v>
      </c>
      <c r="D310" s="8">
        <v>46096</v>
      </c>
      <c r="E310" t="s">
        <v>1663</v>
      </c>
      <c r="F310" t="s">
        <v>2250</v>
      </c>
      <c r="G310" s="6">
        <v>16750</v>
      </c>
      <c r="H310" t="s">
        <v>1656</v>
      </c>
      <c r="J310" s="8">
        <v>46110</v>
      </c>
      <c r="K310">
        <v>0</v>
      </c>
    </row>
    <row r="311" spans="1:11" x14ac:dyDescent="0.35">
      <c r="A311" t="s">
        <v>2251</v>
      </c>
      <c r="B311" t="s">
        <v>1222</v>
      </c>
      <c r="C311" t="s">
        <v>524</v>
      </c>
      <c r="D311" s="8">
        <v>46107</v>
      </c>
      <c r="E311" t="s">
        <v>1663</v>
      </c>
      <c r="F311" t="s">
        <v>2252</v>
      </c>
      <c r="G311" s="6">
        <v>3162</v>
      </c>
      <c r="H311" t="s">
        <v>1656</v>
      </c>
      <c r="J311" s="8">
        <v>46124</v>
      </c>
      <c r="K311">
        <v>0</v>
      </c>
    </row>
    <row r="312" spans="1:11" x14ac:dyDescent="0.35">
      <c r="A312" t="s">
        <v>2253</v>
      </c>
      <c r="B312" t="s">
        <v>791</v>
      </c>
      <c r="C312" t="s">
        <v>407</v>
      </c>
      <c r="D312" s="8">
        <v>46137</v>
      </c>
      <c r="E312" t="s">
        <v>1660</v>
      </c>
      <c r="F312" t="s">
        <v>2254</v>
      </c>
      <c r="G312" s="6">
        <v>10576</v>
      </c>
      <c r="H312" t="s">
        <v>1656</v>
      </c>
      <c r="J312" s="8">
        <v>46142</v>
      </c>
      <c r="K312">
        <v>0</v>
      </c>
    </row>
    <row r="313" spans="1:11" x14ac:dyDescent="0.35">
      <c r="A313" t="s">
        <v>2255</v>
      </c>
      <c r="B313" t="s">
        <v>893</v>
      </c>
      <c r="C313" t="s">
        <v>293</v>
      </c>
      <c r="D313" s="8">
        <v>46154</v>
      </c>
      <c r="E313" t="s">
        <v>1651</v>
      </c>
      <c r="F313" t="s">
        <v>2256</v>
      </c>
      <c r="G313" s="6">
        <v>127</v>
      </c>
      <c r="H313" t="s">
        <v>1653</v>
      </c>
      <c r="J313" s="8">
        <v>46149</v>
      </c>
      <c r="K313">
        <v>0</v>
      </c>
    </row>
    <row r="314" spans="1:11" x14ac:dyDescent="0.35">
      <c r="A314" t="s">
        <v>2257</v>
      </c>
      <c r="B314" t="s">
        <v>1156</v>
      </c>
      <c r="C314" t="s">
        <v>533</v>
      </c>
      <c r="D314" s="8">
        <v>46110</v>
      </c>
      <c r="E314" t="s">
        <v>1651</v>
      </c>
      <c r="F314" t="s">
        <v>2258</v>
      </c>
      <c r="G314" s="6">
        <v>5557</v>
      </c>
      <c r="H314" t="s">
        <v>1656</v>
      </c>
      <c r="J314" s="8">
        <v>46109</v>
      </c>
      <c r="K314">
        <v>0</v>
      </c>
    </row>
    <row r="315" spans="1:11" x14ac:dyDescent="0.35">
      <c r="A315" t="s">
        <v>2259</v>
      </c>
      <c r="B315" t="s">
        <v>1616</v>
      </c>
      <c r="C315" t="s">
        <v>429</v>
      </c>
      <c r="E315" t="s">
        <v>1651</v>
      </c>
      <c r="F315" t="s">
        <v>2260</v>
      </c>
      <c r="G315" s="6">
        <v>18353</v>
      </c>
      <c r="H315" t="s">
        <v>1712</v>
      </c>
      <c r="I315" t="s">
        <v>1742</v>
      </c>
      <c r="J315" s="8">
        <v>46107</v>
      </c>
      <c r="K315">
        <v>63</v>
      </c>
    </row>
    <row r="316" spans="1:11" x14ac:dyDescent="0.35">
      <c r="A316" t="s">
        <v>2261</v>
      </c>
      <c r="B316" t="s">
        <v>1220</v>
      </c>
      <c r="C316" t="s">
        <v>345</v>
      </c>
      <c r="E316" t="s">
        <v>1651</v>
      </c>
      <c r="F316" t="s">
        <v>2262</v>
      </c>
      <c r="G316" s="6">
        <v>7667</v>
      </c>
      <c r="H316" t="s">
        <v>1667</v>
      </c>
      <c r="I316" t="s">
        <v>1693</v>
      </c>
      <c r="J316" s="8">
        <v>46154</v>
      </c>
      <c r="K316">
        <v>16</v>
      </c>
    </row>
    <row r="317" spans="1:11" x14ac:dyDescent="0.35">
      <c r="A317" t="s">
        <v>2263</v>
      </c>
      <c r="B317" t="s">
        <v>945</v>
      </c>
      <c r="C317" t="s">
        <v>488</v>
      </c>
      <c r="D317" s="8">
        <v>46066</v>
      </c>
      <c r="E317" t="s">
        <v>1651</v>
      </c>
      <c r="F317" t="s">
        <v>2264</v>
      </c>
      <c r="G317" s="6">
        <v>12973</v>
      </c>
      <c r="H317" t="s">
        <v>1656</v>
      </c>
      <c r="J317" s="8">
        <v>46091</v>
      </c>
      <c r="K317">
        <v>0</v>
      </c>
    </row>
    <row r="318" spans="1:11" x14ac:dyDescent="0.35">
      <c r="A318" t="s">
        <v>2265</v>
      </c>
      <c r="B318" t="s">
        <v>1412</v>
      </c>
      <c r="C318" t="s">
        <v>553</v>
      </c>
      <c r="D318" s="8">
        <v>46059</v>
      </c>
      <c r="E318" t="s">
        <v>1651</v>
      </c>
      <c r="F318" t="s">
        <v>2266</v>
      </c>
      <c r="G318" s="6">
        <v>14063</v>
      </c>
      <c r="H318" t="s">
        <v>1656</v>
      </c>
      <c r="J318" s="8">
        <v>46074</v>
      </c>
      <c r="K318">
        <v>0</v>
      </c>
    </row>
    <row r="319" spans="1:11" x14ac:dyDescent="0.35">
      <c r="A319" t="s">
        <v>2267</v>
      </c>
      <c r="B319" t="s">
        <v>697</v>
      </c>
      <c r="C319" t="s">
        <v>235</v>
      </c>
      <c r="E319" t="s">
        <v>1651</v>
      </c>
      <c r="G319" s="6">
        <v>8146</v>
      </c>
      <c r="H319" t="s">
        <v>1712</v>
      </c>
      <c r="I319" t="s">
        <v>1673</v>
      </c>
      <c r="J319" s="8">
        <v>46064</v>
      </c>
      <c r="K319">
        <v>106</v>
      </c>
    </row>
    <row r="320" spans="1:11" x14ac:dyDescent="0.35">
      <c r="A320" t="s">
        <v>2268</v>
      </c>
      <c r="B320" t="s">
        <v>1394</v>
      </c>
      <c r="C320" t="s">
        <v>369</v>
      </c>
      <c r="D320" s="8">
        <v>46171</v>
      </c>
      <c r="E320" t="s">
        <v>1651</v>
      </c>
      <c r="F320" t="s">
        <v>2269</v>
      </c>
      <c r="G320" s="6">
        <v>10833</v>
      </c>
      <c r="H320" t="s">
        <v>1656</v>
      </c>
      <c r="J320" s="8">
        <v>46179</v>
      </c>
      <c r="K320">
        <v>0</v>
      </c>
    </row>
    <row r="321" spans="1:11" x14ac:dyDescent="0.35">
      <c r="A321" t="s">
        <v>2270</v>
      </c>
      <c r="B321" t="s">
        <v>971</v>
      </c>
      <c r="C321" t="s">
        <v>237</v>
      </c>
      <c r="D321" s="8">
        <v>46059</v>
      </c>
      <c r="E321" t="s">
        <v>1651</v>
      </c>
      <c r="F321" t="s">
        <v>2271</v>
      </c>
      <c r="G321" s="6">
        <v>14570</v>
      </c>
      <c r="H321" t="s">
        <v>1656</v>
      </c>
      <c r="J321" s="8">
        <v>46055</v>
      </c>
      <c r="K321">
        <v>0</v>
      </c>
    </row>
    <row r="322" spans="1:11" x14ac:dyDescent="0.35">
      <c r="A322" t="s">
        <v>2272</v>
      </c>
      <c r="B322" t="s">
        <v>1076</v>
      </c>
      <c r="C322" t="s">
        <v>339</v>
      </c>
      <c r="D322" s="8">
        <v>46085</v>
      </c>
      <c r="E322" t="s">
        <v>1660</v>
      </c>
      <c r="F322" t="s">
        <v>2273</v>
      </c>
      <c r="G322" s="6">
        <v>6401</v>
      </c>
      <c r="H322" t="s">
        <v>1656</v>
      </c>
      <c r="J322" s="8">
        <v>46086</v>
      </c>
      <c r="K322">
        <v>0</v>
      </c>
    </row>
    <row r="323" spans="1:11" x14ac:dyDescent="0.35">
      <c r="A323" t="s">
        <v>2274</v>
      </c>
      <c r="B323" t="s">
        <v>1264</v>
      </c>
      <c r="C323" t="s">
        <v>123</v>
      </c>
      <c r="D323" s="8">
        <v>46043</v>
      </c>
      <c r="E323" t="s">
        <v>1660</v>
      </c>
      <c r="F323" t="s">
        <v>2275</v>
      </c>
      <c r="G323" s="6">
        <v>6838</v>
      </c>
      <c r="H323" t="s">
        <v>1656</v>
      </c>
      <c r="J323" s="8">
        <v>46056</v>
      </c>
      <c r="K323">
        <v>0</v>
      </c>
    </row>
    <row r="324" spans="1:11" x14ac:dyDescent="0.35">
      <c r="A324" t="s">
        <v>2276</v>
      </c>
      <c r="B324" t="s">
        <v>1312</v>
      </c>
      <c r="C324" t="s">
        <v>161</v>
      </c>
      <c r="D324" s="8">
        <v>46101</v>
      </c>
      <c r="E324" t="s">
        <v>1651</v>
      </c>
      <c r="F324" t="s">
        <v>2277</v>
      </c>
      <c r="G324" s="6">
        <v>6212</v>
      </c>
      <c r="H324" t="s">
        <v>1656</v>
      </c>
      <c r="J324" s="8">
        <v>46099</v>
      </c>
      <c r="K324">
        <v>0</v>
      </c>
    </row>
    <row r="325" spans="1:11" x14ac:dyDescent="0.35">
      <c r="A325" t="s">
        <v>2278</v>
      </c>
      <c r="B325" t="s">
        <v>1418</v>
      </c>
      <c r="C325" t="s">
        <v>102</v>
      </c>
      <c r="D325" s="8">
        <v>46106</v>
      </c>
      <c r="E325" t="s">
        <v>1660</v>
      </c>
      <c r="F325" t="s">
        <v>2279</v>
      </c>
      <c r="G325" s="6">
        <v>21177</v>
      </c>
      <c r="H325" t="s">
        <v>1653</v>
      </c>
      <c r="J325" s="8">
        <v>46117</v>
      </c>
      <c r="K325">
        <v>0</v>
      </c>
    </row>
    <row r="326" spans="1:11" x14ac:dyDescent="0.35">
      <c r="A326" t="s">
        <v>2280</v>
      </c>
      <c r="B326" t="s">
        <v>1504</v>
      </c>
      <c r="C326" t="s">
        <v>511</v>
      </c>
      <c r="D326" s="8">
        <v>46078</v>
      </c>
      <c r="E326" t="s">
        <v>1651</v>
      </c>
      <c r="F326" t="s">
        <v>2281</v>
      </c>
      <c r="G326" s="6">
        <v>21603</v>
      </c>
      <c r="H326" t="s">
        <v>1656</v>
      </c>
      <c r="J326" s="8">
        <v>46074</v>
      </c>
      <c r="K326">
        <v>0</v>
      </c>
    </row>
    <row r="327" spans="1:11" x14ac:dyDescent="0.35">
      <c r="A327" t="s">
        <v>2282</v>
      </c>
      <c r="B327" t="s">
        <v>1320</v>
      </c>
      <c r="C327" t="s">
        <v>161</v>
      </c>
      <c r="D327" s="8">
        <v>46058</v>
      </c>
      <c r="E327" t="s">
        <v>1651</v>
      </c>
      <c r="F327" t="s">
        <v>2283</v>
      </c>
      <c r="G327" s="6">
        <v>16083</v>
      </c>
      <c r="H327" t="s">
        <v>1656</v>
      </c>
      <c r="J327" s="8">
        <v>46085</v>
      </c>
      <c r="K327">
        <v>0</v>
      </c>
    </row>
    <row r="328" spans="1:11" x14ac:dyDescent="0.35">
      <c r="A328" t="s">
        <v>2284</v>
      </c>
      <c r="B328" t="s">
        <v>1090</v>
      </c>
      <c r="C328" t="s">
        <v>227</v>
      </c>
      <c r="E328" t="s">
        <v>1651</v>
      </c>
      <c r="G328" s="6">
        <v>9410</v>
      </c>
      <c r="H328" t="s">
        <v>1712</v>
      </c>
      <c r="I328" t="s">
        <v>1673</v>
      </c>
      <c r="J328" s="8">
        <v>46069</v>
      </c>
      <c r="K328">
        <v>101</v>
      </c>
    </row>
    <row r="329" spans="1:11" x14ac:dyDescent="0.35">
      <c r="A329" t="s">
        <v>2285</v>
      </c>
      <c r="B329" t="s">
        <v>1522</v>
      </c>
      <c r="C329" t="s">
        <v>284</v>
      </c>
      <c r="D329" s="8">
        <v>46103</v>
      </c>
      <c r="E329" t="s">
        <v>1660</v>
      </c>
      <c r="F329" t="s">
        <v>2286</v>
      </c>
      <c r="G329" s="6">
        <v>13103</v>
      </c>
      <c r="H329" t="s">
        <v>1656</v>
      </c>
      <c r="J329" s="8">
        <v>46125</v>
      </c>
      <c r="K329">
        <v>0</v>
      </c>
    </row>
    <row r="330" spans="1:11" x14ac:dyDescent="0.35">
      <c r="A330" t="s">
        <v>2287</v>
      </c>
      <c r="B330" t="s">
        <v>639</v>
      </c>
      <c r="C330" t="s">
        <v>263</v>
      </c>
      <c r="D330" s="8">
        <v>46050</v>
      </c>
      <c r="E330" t="s">
        <v>1651</v>
      </c>
      <c r="F330" t="s">
        <v>2288</v>
      </c>
      <c r="G330" s="6">
        <v>21836</v>
      </c>
      <c r="H330" t="s">
        <v>1656</v>
      </c>
      <c r="J330" s="8">
        <v>46060</v>
      </c>
      <c r="K330">
        <v>0</v>
      </c>
    </row>
    <row r="331" spans="1:11" x14ac:dyDescent="0.35">
      <c r="A331" t="s">
        <v>2289</v>
      </c>
      <c r="B331" t="s">
        <v>1188</v>
      </c>
      <c r="C331" t="s">
        <v>313</v>
      </c>
      <c r="D331" s="8">
        <v>46170</v>
      </c>
      <c r="E331" t="s">
        <v>1651</v>
      </c>
      <c r="F331" t="s">
        <v>2290</v>
      </c>
      <c r="G331" s="6">
        <v>10728</v>
      </c>
      <c r="H331" t="s">
        <v>1656</v>
      </c>
      <c r="J331" s="8">
        <v>46184</v>
      </c>
      <c r="K331">
        <v>0</v>
      </c>
    </row>
    <row r="332" spans="1:11" x14ac:dyDescent="0.35">
      <c r="A332" t="s">
        <v>2291</v>
      </c>
      <c r="B332" t="s">
        <v>1598</v>
      </c>
      <c r="C332" t="s">
        <v>418</v>
      </c>
      <c r="D332" s="8">
        <v>46079</v>
      </c>
      <c r="E332" t="s">
        <v>1651</v>
      </c>
      <c r="F332" t="s">
        <v>2292</v>
      </c>
      <c r="G332" s="6">
        <v>9456</v>
      </c>
      <c r="H332" t="s">
        <v>1656</v>
      </c>
      <c r="J332" s="8">
        <v>46093</v>
      </c>
      <c r="K332">
        <v>0</v>
      </c>
    </row>
    <row r="333" spans="1:11" x14ac:dyDescent="0.35">
      <c r="A333" t="s">
        <v>2293</v>
      </c>
      <c r="B333" t="s">
        <v>779</v>
      </c>
      <c r="C333" t="s">
        <v>269</v>
      </c>
      <c r="D333" s="8">
        <v>46053</v>
      </c>
      <c r="E333" t="s">
        <v>1660</v>
      </c>
      <c r="F333" t="s">
        <v>2294</v>
      </c>
      <c r="G333" s="6">
        <v>9720</v>
      </c>
      <c r="H333" t="s">
        <v>1656</v>
      </c>
      <c r="J333" s="8">
        <v>46079</v>
      </c>
      <c r="K333">
        <v>0</v>
      </c>
    </row>
    <row r="334" spans="1:11" x14ac:dyDescent="0.35">
      <c r="A334" t="s">
        <v>2295</v>
      </c>
      <c r="B334" t="s">
        <v>1005</v>
      </c>
      <c r="C334" t="s">
        <v>490</v>
      </c>
      <c r="D334" s="8">
        <v>46106</v>
      </c>
      <c r="E334" t="s">
        <v>1651</v>
      </c>
      <c r="F334" t="s">
        <v>2296</v>
      </c>
      <c r="G334" s="6">
        <v>15978</v>
      </c>
      <c r="H334" t="s">
        <v>1656</v>
      </c>
      <c r="J334" s="8">
        <v>46110</v>
      </c>
      <c r="K334">
        <v>0</v>
      </c>
    </row>
    <row r="335" spans="1:11" x14ac:dyDescent="0.35">
      <c r="A335" t="s">
        <v>2297</v>
      </c>
      <c r="B335" t="s">
        <v>1246</v>
      </c>
      <c r="C335" t="s">
        <v>196</v>
      </c>
      <c r="D335" s="8">
        <v>46090</v>
      </c>
      <c r="E335" t="s">
        <v>1651</v>
      </c>
      <c r="F335" t="s">
        <v>2298</v>
      </c>
      <c r="G335" s="6">
        <v>17214</v>
      </c>
      <c r="H335" t="s">
        <v>1656</v>
      </c>
      <c r="J335" s="8">
        <v>46098</v>
      </c>
      <c r="K335">
        <v>0</v>
      </c>
    </row>
    <row r="336" spans="1:11" x14ac:dyDescent="0.35">
      <c r="A336" t="s">
        <v>2299</v>
      </c>
      <c r="B336" t="s">
        <v>647</v>
      </c>
      <c r="C336" t="s">
        <v>380</v>
      </c>
      <c r="D336" s="8">
        <v>46070</v>
      </c>
      <c r="E336" t="s">
        <v>1660</v>
      </c>
      <c r="F336" t="s">
        <v>2300</v>
      </c>
      <c r="G336" s="6">
        <v>11471</v>
      </c>
      <c r="H336" t="s">
        <v>1656</v>
      </c>
      <c r="J336" s="8">
        <v>46092</v>
      </c>
      <c r="K336">
        <v>0</v>
      </c>
    </row>
    <row r="337" spans="1:11" x14ac:dyDescent="0.35">
      <c r="A337" t="s">
        <v>2301</v>
      </c>
      <c r="B337" t="s">
        <v>1568</v>
      </c>
      <c r="C337" t="s">
        <v>35</v>
      </c>
      <c r="D337" s="8">
        <v>46117</v>
      </c>
      <c r="E337" t="s">
        <v>1660</v>
      </c>
      <c r="F337" t="s">
        <v>2302</v>
      </c>
      <c r="G337" s="6">
        <v>2130</v>
      </c>
      <c r="H337" t="s">
        <v>1653</v>
      </c>
      <c r="J337" s="8">
        <v>46122</v>
      </c>
      <c r="K337">
        <v>0</v>
      </c>
    </row>
    <row r="338" spans="1:11" x14ac:dyDescent="0.35">
      <c r="A338" t="s">
        <v>2303</v>
      </c>
      <c r="B338" t="s">
        <v>1630</v>
      </c>
      <c r="C338" t="s">
        <v>351</v>
      </c>
      <c r="D338" s="8">
        <v>46082</v>
      </c>
      <c r="E338" t="s">
        <v>1651</v>
      </c>
      <c r="F338" t="s">
        <v>2304</v>
      </c>
      <c r="G338" s="6">
        <v>2874</v>
      </c>
      <c r="H338" t="s">
        <v>1656</v>
      </c>
      <c r="J338" s="8">
        <v>46099</v>
      </c>
      <c r="K338">
        <v>0</v>
      </c>
    </row>
    <row r="339" spans="1:11" x14ac:dyDescent="0.35">
      <c r="A339" t="s">
        <v>2305</v>
      </c>
      <c r="B339" t="s">
        <v>1032</v>
      </c>
      <c r="C339" t="s">
        <v>255</v>
      </c>
      <c r="D339" s="8">
        <v>46142</v>
      </c>
      <c r="E339" t="s">
        <v>1651</v>
      </c>
      <c r="F339" t="s">
        <v>2306</v>
      </c>
      <c r="G339" s="6">
        <v>12612</v>
      </c>
      <c r="H339" t="s">
        <v>1653</v>
      </c>
      <c r="J339" s="8">
        <v>46159</v>
      </c>
      <c r="K339">
        <v>0</v>
      </c>
    </row>
    <row r="340" spans="1:11" x14ac:dyDescent="0.35">
      <c r="A340" t="s">
        <v>2307</v>
      </c>
      <c r="B340" t="s">
        <v>1582</v>
      </c>
      <c r="C340" t="s">
        <v>485</v>
      </c>
      <c r="E340" t="s">
        <v>1651</v>
      </c>
      <c r="G340" s="6">
        <v>7305</v>
      </c>
      <c r="H340" t="s">
        <v>671</v>
      </c>
      <c r="I340" t="s">
        <v>1690</v>
      </c>
      <c r="J340" s="8">
        <v>46102</v>
      </c>
      <c r="K340">
        <v>68</v>
      </c>
    </row>
    <row r="341" spans="1:11" x14ac:dyDescent="0.35">
      <c r="A341" t="s">
        <v>2308</v>
      </c>
      <c r="B341" t="s">
        <v>843</v>
      </c>
      <c r="C341" t="s">
        <v>72</v>
      </c>
      <c r="D341" s="8">
        <v>46063</v>
      </c>
      <c r="E341" t="s">
        <v>1663</v>
      </c>
      <c r="F341" t="s">
        <v>2309</v>
      </c>
      <c r="G341" s="6">
        <v>8707</v>
      </c>
      <c r="H341" t="s">
        <v>1656</v>
      </c>
      <c r="J341" s="8">
        <v>46078</v>
      </c>
      <c r="K341">
        <v>0</v>
      </c>
    </row>
    <row r="342" spans="1:11" x14ac:dyDescent="0.35">
      <c r="A342" t="s">
        <v>2310</v>
      </c>
      <c r="B342" t="s">
        <v>1070</v>
      </c>
      <c r="C342" t="s">
        <v>561</v>
      </c>
      <c r="D342" s="8">
        <v>46116</v>
      </c>
      <c r="E342" t="s">
        <v>1651</v>
      </c>
      <c r="F342" t="s">
        <v>2311</v>
      </c>
      <c r="G342" s="6">
        <v>14427</v>
      </c>
      <c r="H342" t="s">
        <v>1656</v>
      </c>
      <c r="J342" s="8">
        <v>46125</v>
      </c>
      <c r="K342">
        <v>0</v>
      </c>
    </row>
    <row r="343" spans="1:11" x14ac:dyDescent="0.35">
      <c r="A343" t="s">
        <v>2312</v>
      </c>
      <c r="B343" t="s">
        <v>1021</v>
      </c>
      <c r="C343" t="s">
        <v>263</v>
      </c>
      <c r="D343" s="8">
        <v>46151</v>
      </c>
      <c r="E343" t="s">
        <v>1651</v>
      </c>
      <c r="F343" t="s">
        <v>2313</v>
      </c>
      <c r="G343" s="6">
        <v>14423</v>
      </c>
      <c r="H343" t="s">
        <v>1656</v>
      </c>
      <c r="J343" s="8">
        <v>46177</v>
      </c>
      <c r="K343">
        <v>0</v>
      </c>
    </row>
    <row r="344" spans="1:11" x14ac:dyDescent="0.35">
      <c r="A344" t="s">
        <v>2314</v>
      </c>
      <c r="B344" t="s">
        <v>1430</v>
      </c>
      <c r="C344" t="s">
        <v>488</v>
      </c>
      <c r="D344" s="8">
        <v>46128</v>
      </c>
      <c r="E344" t="s">
        <v>1651</v>
      </c>
      <c r="F344" t="s">
        <v>2315</v>
      </c>
      <c r="G344" s="6">
        <v>6628</v>
      </c>
      <c r="H344" t="s">
        <v>1656</v>
      </c>
      <c r="J344" s="8">
        <v>46141</v>
      </c>
      <c r="K344">
        <v>0</v>
      </c>
    </row>
    <row r="345" spans="1:11" x14ac:dyDescent="0.35">
      <c r="A345" t="s">
        <v>2316</v>
      </c>
      <c r="B345" t="s">
        <v>1144</v>
      </c>
      <c r="C345" t="s">
        <v>383</v>
      </c>
      <c r="D345" s="8">
        <v>46045</v>
      </c>
      <c r="E345" t="s">
        <v>1651</v>
      </c>
      <c r="F345" t="s">
        <v>2317</v>
      </c>
      <c r="G345" s="6">
        <v>16509</v>
      </c>
      <c r="H345" t="s">
        <v>1656</v>
      </c>
      <c r="J345" s="8">
        <v>46060</v>
      </c>
      <c r="K345">
        <v>0</v>
      </c>
    </row>
    <row r="346" spans="1:11" x14ac:dyDescent="0.35">
      <c r="A346" t="s">
        <v>2318</v>
      </c>
      <c r="B346" t="s">
        <v>1042</v>
      </c>
      <c r="C346" t="s">
        <v>539</v>
      </c>
      <c r="D346" s="8">
        <v>46085</v>
      </c>
      <c r="E346" t="s">
        <v>1651</v>
      </c>
      <c r="F346" t="s">
        <v>2319</v>
      </c>
      <c r="G346" s="6">
        <v>5909</v>
      </c>
      <c r="H346" t="s">
        <v>1656</v>
      </c>
      <c r="J346" s="8">
        <v>46096</v>
      </c>
      <c r="K346">
        <v>0</v>
      </c>
    </row>
    <row r="347" spans="1:11" x14ac:dyDescent="0.35">
      <c r="A347" t="s">
        <v>2320</v>
      </c>
      <c r="B347" t="s">
        <v>1536</v>
      </c>
      <c r="C347" t="s">
        <v>180</v>
      </c>
      <c r="D347" s="8">
        <v>46065</v>
      </c>
      <c r="E347" t="s">
        <v>1651</v>
      </c>
      <c r="F347" t="s">
        <v>2321</v>
      </c>
      <c r="G347" s="6">
        <v>20824</v>
      </c>
      <c r="H347" t="s">
        <v>1656</v>
      </c>
      <c r="J347" s="8">
        <v>46068</v>
      </c>
      <c r="K347">
        <v>0</v>
      </c>
    </row>
    <row r="348" spans="1:11" x14ac:dyDescent="0.35">
      <c r="A348" t="s">
        <v>2322</v>
      </c>
      <c r="B348" t="s">
        <v>733</v>
      </c>
      <c r="C348" t="s">
        <v>456</v>
      </c>
      <c r="D348" s="8">
        <v>46141</v>
      </c>
      <c r="E348" t="s">
        <v>1663</v>
      </c>
      <c r="F348" t="s">
        <v>2323</v>
      </c>
      <c r="G348" s="6">
        <v>15042</v>
      </c>
      <c r="H348" t="s">
        <v>1656</v>
      </c>
      <c r="J348" s="8">
        <v>46136</v>
      </c>
      <c r="K348">
        <v>0</v>
      </c>
    </row>
    <row r="349" spans="1:11" x14ac:dyDescent="0.35">
      <c r="A349" t="s">
        <v>2324</v>
      </c>
      <c r="B349" t="s">
        <v>872</v>
      </c>
      <c r="C349" t="s">
        <v>558</v>
      </c>
      <c r="D349" s="8">
        <v>46128</v>
      </c>
      <c r="E349" t="s">
        <v>1651</v>
      </c>
      <c r="F349" t="s">
        <v>2325</v>
      </c>
      <c r="G349" s="6">
        <v>17142</v>
      </c>
      <c r="H349" t="s">
        <v>1656</v>
      </c>
      <c r="J349" s="8">
        <v>46148</v>
      </c>
      <c r="K349">
        <v>0</v>
      </c>
    </row>
    <row r="350" spans="1:11" x14ac:dyDescent="0.35">
      <c r="A350" t="s">
        <v>2326</v>
      </c>
      <c r="B350" t="s">
        <v>1410</v>
      </c>
      <c r="C350" t="s">
        <v>558</v>
      </c>
      <c r="D350" s="8">
        <v>46070</v>
      </c>
      <c r="E350" t="s">
        <v>1651</v>
      </c>
      <c r="F350" t="s">
        <v>2327</v>
      </c>
      <c r="G350" s="6">
        <v>2566</v>
      </c>
      <c r="H350" t="s">
        <v>1656</v>
      </c>
      <c r="J350" s="8">
        <v>46085</v>
      </c>
      <c r="K350">
        <v>0</v>
      </c>
    </row>
    <row r="351" spans="1:11" x14ac:dyDescent="0.35">
      <c r="A351" t="s">
        <v>2328</v>
      </c>
      <c r="B351" t="s">
        <v>1230</v>
      </c>
      <c r="C351" t="s">
        <v>498</v>
      </c>
      <c r="D351" s="8">
        <v>46099</v>
      </c>
      <c r="E351" t="s">
        <v>1651</v>
      </c>
      <c r="F351" t="s">
        <v>2329</v>
      </c>
      <c r="G351" s="6">
        <v>14398</v>
      </c>
      <c r="H351" t="s">
        <v>1656</v>
      </c>
      <c r="J351" s="8">
        <v>46102</v>
      </c>
      <c r="K351">
        <v>0</v>
      </c>
    </row>
    <row r="352" spans="1:11" x14ac:dyDescent="0.35">
      <c r="A352" t="s">
        <v>2330</v>
      </c>
      <c r="B352" t="s">
        <v>993</v>
      </c>
      <c r="C352" t="s">
        <v>183</v>
      </c>
      <c r="E352" t="s">
        <v>1663</v>
      </c>
      <c r="F352" t="s">
        <v>2331</v>
      </c>
      <c r="G352" s="6">
        <v>3175</v>
      </c>
      <c r="H352" t="s">
        <v>671</v>
      </c>
      <c r="I352" t="s">
        <v>1742</v>
      </c>
      <c r="J352" s="8">
        <v>46081</v>
      </c>
      <c r="K352">
        <v>89</v>
      </c>
    </row>
    <row r="353" spans="1:11" x14ac:dyDescent="0.35">
      <c r="A353" t="s">
        <v>2332</v>
      </c>
      <c r="B353" t="s">
        <v>1304</v>
      </c>
      <c r="C353" t="s">
        <v>227</v>
      </c>
      <c r="D353" s="8">
        <v>46156</v>
      </c>
      <c r="E353" t="s">
        <v>1651</v>
      </c>
      <c r="F353" t="s">
        <v>2333</v>
      </c>
      <c r="G353" s="6">
        <v>10294</v>
      </c>
      <c r="H353" t="s">
        <v>1656</v>
      </c>
      <c r="J353" s="8">
        <v>46172</v>
      </c>
      <c r="K353">
        <v>0</v>
      </c>
    </row>
    <row r="354" spans="1:11" x14ac:dyDescent="0.35">
      <c r="A354" t="s">
        <v>2334</v>
      </c>
      <c r="B354" t="s">
        <v>1116</v>
      </c>
      <c r="C354" t="s">
        <v>60</v>
      </c>
      <c r="D354" s="8">
        <v>46090</v>
      </c>
      <c r="E354" t="s">
        <v>1660</v>
      </c>
      <c r="F354" t="s">
        <v>2335</v>
      </c>
      <c r="G354" s="6">
        <v>17655</v>
      </c>
      <c r="H354" t="s">
        <v>1656</v>
      </c>
      <c r="J354" s="8">
        <v>46107</v>
      </c>
      <c r="K354">
        <v>0</v>
      </c>
    </row>
    <row r="355" spans="1:11" x14ac:dyDescent="0.35">
      <c r="A355" t="s">
        <v>2336</v>
      </c>
      <c r="B355" t="s">
        <v>1558</v>
      </c>
      <c r="C355" t="s">
        <v>310</v>
      </c>
      <c r="E355" t="s">
        <v>1651</v>
      </c>
      <c r="G355" s="6">
        <v>2443</v>
      </c>
      <c r="H355" t="s">
        <v>1712</v>
      </c>
      <c r="I355" t="s">
        <v>1742</v>
      </c>
      <c r="J355" s="8">
        <v>46078</v>
      </c>
      <c r="K355">
        <v>92</v>
      </c>
    </row>
    <row r="356" spans="1:11" x14ac:dyDescent="0.35">
      <c r="A356" t="s">
        <v>2337</v>
      </c>
      <c r="B356" t="s">
        <v>605</v>
      </c>
      <c r="C356" t="s">
        <v>558</v>
      </c>
      <c r="E356" t="s">
        <v>1660</v>
      </c>
      <c r="G356" s="6">
        <v>8557</v>
      </c>
      <c r="H356" t="s">
        <v>1712</v>
      </c>
      <c r="I356" t="s">
        <v>1742</v>
      </c>
      <c r="J356" s="8">
        <v>46068</v>
      </c>
      <c r="K356">
        <v>102</v>
      </c>
    </row>
    <row r="357" spans="1:11" x14ac:dyDescent="0.35">
      <c r="A357" t="s">
        <v>2338</v>
      </c>
      <c r="B357" t="s">
        <v>692</v>
      </c>
      <c r="C357" t="s">
        <v>542</v>
      </c>
      <c r="D357" s="8">
        <v>46129</v>
      </c>
      <c r="E357" t="s">
        <v>1663</v>
      </c>
      <c r="F357" t="s">
        <v>2339</v>
      </c>
      <c r="G357" s="6">
        <v>20061</v>
      </c>
      <c r="H357" t="s">
        <v>1656</v>
      </c>
      <c r="J357" s="8">
        <v>46151</v>
      </c>
      <c r="K357">
        <v>0</v>
      </c>
    </row>
    <row r="358" spans="1:11" x14ac:dyDescent="0.35">
      <c r="A358" t="s">
        <v>2340</v>
      </c>
      <c r="B358" t="s">
        <v>1280</v>
      </c>
      <c r="C358" t="s">
        <v>69</v>
      </c>
      <c r="D358" s="8">
        <v>46162</v>
      </c>
      <c r="E358" t="s">
        <v>1651</v>
      </c>
      <c r="F358" t="s">
        <v>2341</v>
      </c>
      <c r="G358" s="6">
        <v>6489</v>
      </c>
      <c r="H358" t="s">
        <v>1653</v>
      </c>
      <c r="J358" s="8">
        <v>46175</v>
      </c>
      <c r="K358">
        <v>0</v>
      </c>
    </row>
    <row r="359" spans="1:11" x14ac:dyDescent="0.35">
      <c r="A359" t="s">
        <v>2342</v>
      </c>
      <c r="B359" t="s">
        <v>601</v>
      </c>
      <c r="C359" t="s">
        <v>391</v>
      </c>
      <c r="D359" s="8">
        <v>46072</v>
      </c>
      <c r="E359" t="s">
        <v>1651</v>
      </c>
      <c r="F359" t="s">
        <v>2343</v>
      </c>
      <c r="G359" s="6">
        <v>5754</v>
      </c>
      <c r="H359" t="s">
        <v>1656</v>
      </c>
      <c r="J359" s="8">
        <v>46076</v>
      </c>
      <c r="K359">
        <v>0</v>
      </c>
    </row>
    <row r="360" spans="1:11" x14ac:dyDescent="0.35">
      <c r="A360" t="s">
        <v>2344</v>
      </c>
      <c r="B360" t="s">
        <v>757</v>
      </c>
      <c r="C360" t="s">
        <v>243</v>
      </c>
      <c r="D360" s="8">
        <v>46115</v>
      </c>
      <c r="E360" t="s">
        <v>1651</v>
      </c>
      <c r="F360" t="s">
        <v>2345</v>
      </c>
      <c r="G360" s="6">
        <v>15731</v>
      </c>
      <c r="H360" t="s">
        <v>1656</v>
      </c>
      <c r="J360" s="8">
        <v>46132</v>
      </c>
      <c r="K360">
        <v>0</v>
      </c>
    </row>
    <row r="361" spans="1:11" x14ac:dyDescent="0.35">
      <c r="A361" t="s">
        <v>2346</v>
      </c>
      <c r="B361" t="s">
        <v>1610</v>
      </c>
      <c r="C361" t="s">
        <v>524</v>
      </c>
      <c r="D361" s="8">
        <v>46046</v>
      </c>
      <c r="E361" t="s">
        <v>1651</v>
      </c>
      <c r="F361" t="s">
        <v>2347</v>
      </c>
      <c r="G361" s="6">
        <v>17015</v>
      </c>
      <c r="H361" t="s">
        <v>1656</v>
      </c>
      <c r="J361" s="8">
        <v>46060</v>
      </c>
      <c r="K361">
        <v>0</v>
      </c>
    </row>
    <row r="362" spans="1:11" x14ac:dyDescent="0.35">
      <c r="A362" t="s">
        <v>2348</v>
      </c>
      <c r="B362" t="s">
        <v>713</v>
      </c>
      <c r="C362" t="s">
        <v>69</v>
      </c>
      <c r="E362" t="s">
        <v>1651</v>
      </c>
      <c r="G362" s="6">
        <v>16352</v>
      </c>
      <c r="H362" t="s">
        <v>1667</v>
      </c>
      <c r="I362" t="s">
        <v>1693</v>
      </c>
      <c r="J362" s="8">
        <v>46167</v>
      </c>
      <c r="K362">
        <v>3</v>
      </c>
    </row>
    <row r="363" spans="1:11" x14ac:dyDescent="0.35">
      <c r="A363" t="s">
        <v>2349</v>
      </c>
      <c r="B363" t="s">
        <v>931</v>
      </c>
      <c r="C363" t="s">
        <v>90</v>
      </c>
      <c r="E363" t="s">
        <v>1660</v>
      </c>
      <c r="G363" s="6">
        <v>16163</v>
      </c>
      <c r="H363" t="s">
        <v>1712</v>
      </c>
      <c r="I363" t="s">
        <v>1742</v>
      </c>
      <c r="J363" s="8">
        <v>46063</v>
      </c>
      <c r="K363">
        <v>107</v>
      </c>
    </row>
    <row r="364" spans="1:11" x14ac:dyDescent="0.35">
      <c r="A364" t="s">
        <v>2350</v>
      </c>
      <c r="B364" t="s">
        <v>875</v>
      </c>
      <c r="C364" t="s">
        <v>483</v>
      </c>
      <c r="D364" s="8">
        <v>46073</v>
      </c>
      <c r="E364" t="s">
        <v>1660</v>
      </c>
      <c r="F364" t="s">
        <v>2351</v>
      </c>
      <c r="G364" s="6">
        <v>845</v>
      </c>
      <c r="H364" t="s">
        <v>1656</v>
      </c>
      <c r="J364" s="8">
        <v>46083</v>
      </c>
      <c r="K364">
        <v>0</v>
      </c>
    </row>
    <row r="365" spans="1:11" x14ac:dyDescent="0.35">
      <c r="A365" t="s">
        <v>2352</v>
      </c>
      <c r="B365" t="s">
        <v>858</v>
      </c>
      <c r="C365" t="s">
        <v>304</v>
      </c>
      <c r="D365" s="8">
        <v>46053</v>
      </c>
      <c r="E365" t="s">
        <v>1663</v>
      </c>
      <c r="F365" t="s">
        <v>2353</v>
      </c>
      <c r="G365" s="6">
        <v>14280</v>
      </c>
      <c r="H365" t="s">
        <v>1656</v>
      </c>
      <c r="J365" s="8">
        <v>46064</v>
      </c>
      <c r="K365">
        <v>0</v>
      </c>
    </row>
    <row r="366" spans="1:11" x14ac:dyDescent="0.35">
      <c r="A366" t="s">
        <v>2354</v>
      </c>
      <c r="B366" t="s">
        <v>1546</v>
      </c>
      <c r="C366" t="s">
        <v>545</v>
      </c>
      <c r="D366" s="8">
        <v>46076</v>
      </c>
      <c r="E366" t="s">
        <v>1663</v>
      </c>
      <c r="F366" t="s">
        <v>2355</v>
      </c>
      <c r="G366" s="6">
        <v>19892</v>
      </c>
      <c r="H366" t="s">
        <v>1656</v>
      </c>
      <c r="J366" s="8">
        <v>46091</v>
      </c>
      <c r="K366">
        <v>0</v>
      </c>
    </row>
    <row r="367" spans="1:11" x14ac:dyDescent="0.35">
      <c r="A367" t="s">
        <v>2356</v>
      </c>
      <c r="B367" t="s">
        <v>1056</v>
      </c>
      <c r="C367" t="s">
        <v>516</v>
      </c>
      <c r="D367" s="8">
        <v>46117</v>
      </c>
      <c r="E367" t="s">
        <v>1651</v>
      </c>
      <c r="F367" t="s">
        <v>2357</v>
      </c>
      <c r="G367" s="6">
        <v>5793</v>
      </c>
      <c r="H367" t="s">
        <v>1656</v>
      </c>
      <c r="J367" s="8">
        <v>46135</v>
      </c>
      <c r="K367">
        <v>0</v>
      </c>
    </row>
    <row r="368" spans="1:11" x14ac:dyDescent="0.35">
      <c r="A368" t="s">
        <v>2358</v>
      </c>
      <c r="B368" t="s">
        <v>1640</v>
      </c>
      <c r="C368" t="s">
        <v>313</v>
      </c>
      <c r="D368" s="8">
        <v>46056</v>
      </c>
      <c r="E368" t="s">
        <v>1651</v>
      </c>
      <c r="F368" t="s">
        <v>2359</v>
      </c>
      <c r="G368" s="6">
        <v>13515</v>
      </c>
      <c r="H368" t="s">
        <v>1656</v>
      </c>
      <c r="J368" s="8">
        <v>46057</v>
      </c>
      <c r="K368">
        <v>0</v>
      </c>
    </row>
    <row r="369" spans="1:11" x14ac:dyDescent="0.35">
      <c r="A369" t="s">
        <v>2360</v>
      </c>
      <c r="B369" t="s">
        <v>1064</v>
      </c>
      <c r="C369" t="s">
        <v>310</v>
      </c>
      <c r="D369" s="8">
        <v>46054</v>
      </c>
      <c r="E369" t="s">
        <v>1663</v>
      </c>
      <c r="F369" t="s">
        <v>2361</v>
      </c>
      <c r="G369" s="6">
        <v>21061</v>
      </c>
      <c r="H369" t="s">
        <v>1656</v>
      </c>
      <c r="J369" s="8">
        <v>46057</v>
      </c>
      <c r="K369">
        <v>0</v>
      </c>
    </row>
    <row r="370" spans="1:11" x14ac:dyDescent="0.35">
      <c r="A370" t="s">
        <v>2362</v>
      </c>
      <c r="B370" t="s">
        <v>627</v>
      </c>
      <c r="C370" t="s">
        <v>227</v>
      </c>
      <c r="E370" t="s">
        <v>1651</v>
      </c>
      <c r="G370" s="6">
        <v>7871</v>
      </c>
      <c r="H370" t="s">
        <v>671</v>
      </c>
      <c r="I370" t="s">
        <v>1673</v>
      </c>
      <c r="J370" s="8">
        <v>46081</v>
      </c>
      <c r="K370">
        <v>89</v>
      </c>
    </row>
    <row r="371" spans="1:11" x14ac:dyDescent="0.35">
      <c r="A371" t="s">
        <v>2363</v>
      </c>
      <c r="B371" t="s">
        <v>929</v>
      </c>
      <c r="C371" t="s">
        <v>563</v>
      </c>
      <c r="D371" s="8">
        <v>46067</v>
      </c>
      <c r="E371" t="s">
        <v>1663</v>
      </c>
      <c r="F371" t="s">
        <v>2364</v>
      </c>
      <c r="G371" s="6">
        <v>19689</v>
      </c>
      <c r="H371" t="s">
        <v>1656</v>
      </c>
      <c r="J371" s="8">
        <v>46078</v>
      </c>
      <c r="K371">
        <v>0</v>
      </c>
    </row>
    <row r="372" spans="1:11" x14ac:dyDescent="0.35">
      <c r="A372" t="s">
        <v>2365</v>
      </c>
      <c r="B372" t="s">
        <v>875</v>
      </c>
      <c r="C372" t="s">
        <v>475</v>
      </c>
      <c r="D372" s="8">
        <v>46108</v>
      </c>
      <c r="E372" t="s">
        <v>1651</v>
      </c>
      <c r="F372" t="s">
        <v>2366</v>
      </c>
      <c r="G372" s="6">
        <v>14688</v>
      </c>
      <c r="H372" t="s">
        <v>1656</v>
      </c>
      <c r="J372" s="8">
        <v>46127</v>
      </c>
      <c r="K372">
        <v>0</v>
      </c>
    </row>
    <row r="373" spans="1:11" x14ac:dyDescent="0.35">
      <c r="A373" t="s">
        <v>2367</v>
      </c>
      <c r="B373" t="s">
        <v>1318</v>
      </c>
      <c r="C373" t="s">
        <v>513</v>
      </c>
      <c r="E373" t="s">
        <v>1660</v>
      </c>
      <c r="G373" s="6">
        <v>18737</v>
      </c>
      <c r="H373" t="s">
        <v>671</v>
      </c>
      <c r="I373" t="s">
        <v>1704</v>
      </c>
      <c r="J373" s="8">
        <v>46130</v>
      </c>
      <c r="K373">
        <v>40</v>
      </c>
    </row>
    <row r="374" spans="1:11" x14ac:dyDescent="0.35">
      <c r="A374" t="s">
        <v>2368</v>
      </c>
      <c r="B374" t="s">
        <v>1196</v>
      </c>
      <c r="C374" t="s">
        <v>548</v>
      </c>
      <c r="E374" t="s">
        <v>1651</v>
      </c>
      <c r="F374" t="s">
        <v>2369</v>
      </c>
      <c r="G374" s="6">
        <v>19069</v>
      </c>
      <c r="H374" t="s">
        <v>671</v>
      </c>
      <c r="I374" t="s">
        <v>1742</v>
      </c>
      <c r="J374" s="8">
        <v>46110</v>
      </c>
      <c r="K374">
        <v>60</v>
      </c>
    </row>
    <row r="375" spans="1:11" x14ac:dyDescent="0.35">
      <c r="A375" t="s">
        <v>2370</v>
      </c>
      <c r="B375" t="s">
        <v>1604</v>
      </c>
      <c r="C375" t="s">
        <v>388</v>
      </c>
      <c r="D375" s="8">
        <v>46159</v>
      </c>
      <c r="E375" t="s">
        <v>1651</v>
      </c>
      <c r="F375" t="s">
        <v>2371</v>
      </c>
      <c r="G375" s="6">
        <v>17951</v>
      </c>
      <c r="H375" t="s">
        <v>1656</v>
      </c>
      <c r="J375" s="8">
        <v>46169</v>
      </c>
      <c r="K375">
        <v>0</v>
      </c>
    </row>
    <row r="376" spans="1:11" x14ac:dyDescent="0.35">
      <c r="A376" t="s">
        <v>2372</v>
      </c>
      <c r="B376" t="s">
        <v>885</v>
      </c>
      <c r="C376" t="s">
        <v>366</v>
      </c>
      <c r="D376" s="8">
        <v>46058</v>
      </c>
      <c r="E376" t="s">
        <v>1663</v>
      </c>
      <c r="F376" t="s">
        <v>2373</v>
      </c>
      <c r="G376" s="6">
        <v>13078</v>
      </c>
      <c r="H376" t="s">
        <v>1656</v>
      </c>
      <c r="J376" s="8">
        <v>46057</v>
      </c>
      <c r="K376">
        <v>0</v>
      </c>
    </row>
    <row r="377" spans="1:11" x14ac:dyDescent="0.35">
      <c r="A377" t="s">
        <v>2374</v>
      </c>
      <c r="B377" t="s">
        <v>1116</v>
      </c>
      <c r="C377" t="s">
        <v>255</v>
      </c>
      <c r="D377" s="8">
        <v>46128</v>
      </c>
      <c r="E377" t="s">
        <v>1651</v>
      </c>
      <c r="F377" t="s">
        <v>2375</v>
      </c>
      <c r="G377" s="6">
        <v>18931</v>
      </c>
      <c r="H377" t="s">
        <v>1653</v>
      </c>
      <c r="J377" s="8">
        <v>46152</v>
      </c>
      <c r="K377">
        <v>0</v>
      </c>
    </row>
    <row r="378" spans="1:11" x14ac:dyDescent="0.35">
      <c r="A378" t="s">
        <v>2376</v>
      </c>
      <c r="B378" t="s">
        <v>967</v>
      </c>
      <c r="C378" t="s">
        <v>278</v>
      </c>
      <c r="D378" s="8">
        <v>46151</v>
      </c>
      <c r="E378" t="s">
        <v>1651</v>
      </c>
      <c r="F378" t="s">
        <v>2377</v>
      </c>
      <c r="G378" s="6">
        <v>13536</v>
      </c>
      <c r="H378" t="s">
        <v>1656</v>
      </c>
      <c r="J378" s="8">
        <v>46147</v>
      </c>
      <c r="K378">
        <v>0</v>
      </c>
    </row>
    <row r="379" spans="1:11" x14ac:dyDescent="0.35">
      <c r="A379" t="s">
        <v>2378</v>
      </c>
      <c r="B379" t="s">
        <v>582</v>
      </c>
      <c r="C379" t="s">
        <v>287</v>
      </c>
      <c r="D379" s="8">
        <v>46049</v>
      </c>
      <c r="E379" t="s">
        <v>1663</v>
      </c>
      <c r="F379" t="s">
        <v>2379</v>
      </c>
      <c r="G379" s="6">
        <v>18314</v>
      </c>
      <c r="H379" t="s">
        <v>1656</v>
      </c>
      <c r="J379" s="8">
        <v>46063</v>
      </c>
      <c r="K379">
        <v>0</v>
      </c>
    </row>
    <row r="380" spans="1:11" x14ac:dyDescent="0.35">
      <c r="A380" t="s">
        <v>2380</v>
      </c>
      <c r="B380" t="s">
        <v>1382</v>
      </c>
      <c r="C380" t="s">
        <v>410</v>
      </c>
      <c r="D380" s="8">
        <v>46168</v>
      </c>
      <c r="E380" t="s">
        <v>1651</v>
      </c>
      <c r="F380" t="s">
        <v>2381</v>
      </c>
      <c r="G380" s="6">
        <v>11054</v>
      </c>
      <c r="H380" t="s">
        <v>1656</v>
      </c>
      <c r="J380" s="8">
        <v>46192</v>
      </c>
      <c r="K380">
        <v>0</v>
      </c>
    </row>
    <row r="381" spans="1:11" x14ac:dyDescent="0.35">
      <c r="A381" t="s">
        <v>2382</v>
      </c>
      <c r="B381" t="s">
        <v>1536</v>
      </c>
      <c r="C381" t="s">
        <v>272</v>
      </c>
      <c r="D381" s="8">
        <v>46146</v>
      </c>
      <c r="E381" t="s">
        <v>1651</v>
      </c>
      <c r="F381" t="s">
        <v>2383</v>
      </c>
      <c r="G381" s="6">
        <v>3185</v>
      </c>
      <c r="H381" t="s">
        <v>1656</v>
      </c>
      <c r="J381" s="8">
        <v>46153</v>
      </c>
      <c r="K381">
        <v>0</v>
      </c>
    </row>
    <row r="382" spans="1:11" x14ac:dyDescent="0.35">
      <c r="A382" t="s">
        <v>2384</v>
      </c>
      <c r="B382" t="s">
        <v>1366</v>
      </c>
      <c r="C382" t="s">
        <v>307</v>
      </c>
      <c r="D382" s="8">
        <v>46141</v>
      </c>
      <c r="E382" t="s">
        <v>1660</v>
      </c>
      <c r="F382" t="s">
        <v>2385</v>
      </c>
      <c r="G382" s="6">
        <v>2683</v>
      </c>
      <c r="H382" t="s">
        <v>1656</v>
      </c>
      <c r="J382" s="8">
        <v>46158</v>
      </c>
      <c r="K382">
        <v>0</v>
      </c>
    </row>
    <row r="383" spans="1:11" x14ac:dyDescent="0.35">
      <c r="A383" t="s">
        <v>2386</v>
      </c>
      <c r="B383" t="s">
        <v>1304</v>
      </c>
      <c r="C383" t="s">
        <v>429</v>
      </c>
      <c r="D383" s="8">
        <v>46161</v>
      </c>
      <c r="E383" t="s">
        <v>1651</v>
      </c>
      <c r="F383" t="s">
        <v>2387</v>
      </c>
      <c r="G383" s="6">
        <v>9722</v>
      </c>
      <c r="H383" t="s">
        <v>1656</v>
      </c>
      <c r="J383" s="8">
        <v>46179</v>
      </c>
      <c r="K383">
        <v>0</v>
      </c>
    </row>
    <row r="384" spans="1:11" x14ac:dyDescent="0.35">
      <c r="A384" t="s">
        <v>2388</v>
      </c>
      <c r="B384" t="s">
        <v>631</v>
      </c>
      <c r="C384" t="s">
        <v>180</v>
      </c>
      <c r="D384" s="8">
        <v>46128</v>
      </c>
      <c r="E384" t="s">
        <v>1651</v>
      </c>
      <c r="F384" t="s">
        <v>2389</v>
      </c>
      <c r="G384" s="6">
        <v>8754</v>
      </c>
      <c r="H384" t="s">
        <v>1656</v>
      </c>
      <c r="J384" s="8">
        <v>46149</v>
      </c>
      <c r="K384">
        <v>0</v>
      </c>
    </row>
    <row r="385" spans="1:11" x14ac:dyDescent="0.35">
      <c r="A385" t="s">
        <v>2390</v>
      </c>
      <c r="B385" t="s">
        <v>1248</v>
      </c>
      <c r="C385" t="s">
        <v>304</v>
      </c>
      <c r="D385" s="8">
        <v>46174</v>
      </c>
      <c r="E385" t="s">
        <v>1651</v>
      </c>
      <c r="F385" t="s">
        <v>2391</v>
      </c>
      <c r="G385" s="6">
        <v>20124</v>
      </c>
      <c r="H385" t="s">
        <v>1656</v>
      </c>
      <c r="J385" s="8">
        <v>46186</v>
      </c>
      <c r="K385">
        <v>0</v>
      </c>
    </row>
    <row r="386" spans="1:11" x14ac:dyDescent="0.35">
      <c r="A386" t="s">
        <v>2392</v>
      </c>
      <c r="B386" t="s">
        <v>717</v>
      </c>
      <c r="C386" t="s">
        <v>252</v>
      </c>
      <c r="E386" t="s">
        <v>1651</v>
      </c>
      <c r="G386" s="6">
        <v>16109</v>
      </c>
      <c r="H386" t="s">
        <v>1667</v>
      </c>
      <c r="I386" t="s">
        <v>1704</v>
      </c>
      <c r="J386" s="8">
        <v>46163</v>
      </c>
      <c r="K386">
        <v>7</v>
      </c>
    </row>
    <row r="387" spans="1:11" x14ac:dyDescent="0.35">
      <c r="A387" t="s">
        <v>2393</v>
      </c>
      <c r="B387" t="s">
        <v>723</v>
      </c>
      <c r="C387" t="s">
        <v>493</v>
      </c>
      <c r="D387" s="8">
        <v>46145</v>
      </c>
      <c r="E387" t="s">
        <v>1663</v>
      </c>
      <c r="F387" t="s">
        <v>2394</v>
      </c>
      <c r="G387" s="6">
        <v>15110</v>
      </c>
      <c r="H387" t="s">
        <v>1656</v>
      </c>
      <c r="J387" s="8">
        <v>46167</v>
      </c>
      <c r="K387">
        <v>0</v>
      </c>
    </row>
    <row r="388" spans="1:11" x14ac:dyDescent="0.35">
      <c r="A388" t="s">
        <v>2395</v>
      </c>
      <c r="B388" t="s">
        <v>1126</v>
      </c>
      <c r="C388" t="s">
        <v>87</v>
      </c>
      <c r="D388" s="8">
        <v>46154</v>
      </c>
      <c r="E388" t="s">
        <v>1663</v>
      </c>
      <c r="F388" t="s">
        <v>2396</v>
      </c>
      <c r="G388" s="6">
        <v>1032</v>
      </c>
      <c r="H388" t="s">
        <v>1656</v>
      </c>
      <c r="J388" s="8">
        <v>46174</v>
      </c>
      <c r="K388">
        <v>0</v>
      </c>
    </row>
    <row r="389" spans="1:11" x14ac:dyDescent="0.35">
      <c r="A389" t="s">
        <v>2397</v>
      </c>
      <c r="B389" t="s">
        <v>1312</v>
      </c>
      <c r="C389" t="s">
        <v>158</v>
      </c>
      <c r="E389" t="s">
        <v>1651</v>
      </c>
      <c r="G389" s="6">
        <v>17243</v>
      </c>
      <c r="H389" t="s">
        <v>1667</v>
      </c>
      <c r="I389" t="s">
        <v>1668</v>
      </c>
      <c r="J389" s="8">
        <v>46161</v>
      </c>
      <c r="K389">
        <v>9</v>
      </c>
    </row>
    <row r="390" spans="1:11" x14ac:dyDescent="0.35">
      <c r="A390" t="s">
        <v>2398</v>
      </c>
      <c r="B390" t="s">
        <v>621</v>
      </c>
      <c r="C390" t="s">
        <v>129</v>
      </c>
      <c r="D390" s="8">
        <v>46067</v>
      </c>
      <c r="E390" t="s">
        <v>1651</v>
      </c>
      <c r="F390" t="s">
        <v>2399</v>
      </c>
      <c r="G390" s="6">
        <v>502</v>
      </c>
      <c r="H390" t="s">
        <v>1656</v>
      </c>
      <c r="J390" s="8">
        <v>46090</v>
      </c>
      <c r="K390">
        <v>0</v>
      </c>
    </row>
    <row r="391" spans="1:11" x14ac:dyDescent="0.35">
      <c r="A391" t="s">
        <v>2400</v>
      </c>
      <c r="B391" t="s">
        <v>1396</v>
      </c>
      <c r="C391" t="s">
        <v>463</v>
      </c>
      <c r="D391" s="8">
        <v>46076</v>
      </c>
      <c r="E391" t="s">
        <v>1663</v>
      </c>
      <c r="F391" t="s">
        <v>2401</v>
      </c>
      <c r="G391" s="6">
        <v>6960</v>
      </c>
      <c r="H391" t="s">
        <v>1653</v>
      </c>
      <c r="J391" s="8">
        <v>46087</v>
      </c>
      <c r="K391">
        <v>0</v>
      </c>
    </row>
    <row r="392" spans="1:11" x14ac:dyDescent="0.35">
      <c r="A392" t="s">
        <v>2402</v>
      </c>
      <c r="B392" t="s">
        <v>641</v>
      </c>
      <c r="C392" t="s">
        <v>443</v>
      </c>
      <c r="D392" s="8">
        <v>46063</v>
      </c>
      <c r="E392" t="s">
        <v>1651</v>
      </c>
      <c r="F392" t="s">
        <v>2403</v>
      </c>
      <c r="G392" s="6">
        <v>17917</v>
      </c>
      <c r="H392" t="s">
        <v>1656</v>
      </c>
      <c r="J392" s="8">
        <v>46083</v>
      </c>
      <c r="K392">
        <v>0</v>
      </c>
    </row>
    <row r="393" spans="1:11" x14ac:dyDescent="0.35">
      <c r="A393" t="s">
        <v>2404</v>
      </c>
      <c r="B393" t="s">
        <v>793</v>
      </c>
      <c r="C393" t="s">
        <v>488</v>
      </c>
      <c r="D393" s="8">
        <v>46045</v>
      </c>
      <c r="E393" t="s">
        <v>1660</v>
      </c>
      <c r="F393" t="s">
        <v>2405</v>
      </c>
      <c r="G393" s="6">
        <v>16173</v>
      </c>
      <c r="H393" t="s">
        <v>1656</v>
      </c>
      <c r="J393" s="8">
        <v>46054</v>
      </c>
      <c r="K393">
        <v>0</v>
      </c>
    </row>
    <row r="394" spans="1:11" x14ac:dyDescent="0.35">
      <c r="A394" t="s">
        <v>2406</v>
      </c>
      <c r="B394" t="s">
        <v>1090</v>
      </c>
      <c r="C394" t="s">
        <v>553</v>
      </c>
      <c r="D394" s="8">
        <v>46127</v>
      </c>
      <c r="E394" t="s">
        <v>1651</v>
      </c>
      <c r="F394" t="s">
        <v>2407</v>
      </c>
      <c r="G394" s="6">
        <v>17966</v>
      </c>
      <c r="H394" t="s">
        <v>1656</v>
      </c>
      <c r="J394" s="8">
        <v>46150</v>
      </c>
      <c r="K394">
        <v>0</v>
      </c>
    </row>
    <row r="395" spans="1:11" x14ac:dyDescent="0.35">
      <c r="A395" t="s">
        <v>2408</v>
      </c>
      <c r="B395" t="s">
        <v>1628</v>
      </c>
      <c r="C395" t="s">
        <v>513</v>
      </c>
      <c r="E395" t="s">
        <v>1651</v>
      </c>
      <c r="G395" s="6">
        <v>15438</v>
      </c>
      <c r="H395" t="s">
        <v>671</v>
      </c>
      <c r="I395" t="s">
        <v>1690</v>
      </c>
      <c r="J395" s="8">
        <v>46066</v>
      </c>
      <c r="K395">
        <v>104</v>
      </c>
    </row>
    <row r="396" spans="1:11" x14ac:dyDescent="0.35">
      <c r="A396" t="s">
        <v>2409</v>
      </c>
      <c r="B396" t="s">
        <v>1154</v>
      </c>
      <c r="C396" t="s">
        <v>307</v>
      </c>
      <c r="D396" s="8">
        <v>46114</v>
      </c>
      <c r="E396" t="s">
        <v>1651</v>
      </c>
      <c r="F396" t="s">
        <v>2410</v>
      </c>
      <c r="G396" s="6">
        <v>13388</v>
      </c>
      <c r="H396" t="s">
        <v>1656</v>
      </c>
      <c r="J396" s="8">
        <v>46131</v>
      </c>
      <c r="K396">
        <v>0</v>
      </c>
    </row>
    <row r="397" spans="1:11" x14ac:dyDescent="0.35">
      <c r="A397" t="s">
        <v>2411</v>
      </c>
      <c r="B397" t="s">
        <v>1210</v>
      </c>
      <c r="C397" t="s">
        <v>488</v>
      </c>
      <c r="D397" s="8">
        <v>46164</v>
      </c>
      <c r="E397" t="s">
        <v>1663</v>
      </c>
      <c r="F397" t="s">
        <v>2412</v>
      </c>
      <c r="G397" s="6">
        <v>4900</v>
      </c>
      <c r="H397" t="s">
        <v>1656</v>
      </c>
      <c r="J397" s="8">
        <v>46179</v>
      </c>
      <c r="K397">
        <v>0</v>
      </c>
    </row>
    <row r="398" spans="1:11" x14ac:dyDescent="0.35">
      <c r="A398" t="s">
        <v>2413</v>
      </c>
      <c r="B398" t="s">
        <v>1068</v>
      </c>
      <c r="C398" t="s">
        <v>80</v>
      </c>
      <c r="E398" t="s">
        <v>1651</v>
      </c>
      <c r="F398" t="s">
        <v>2414</v>
      </c>
      <c r="G398" s="6">
        <v>2974</v>
      </c>
      <c r="H398" t="s">
        <v>671</v>
      </c>
      <c r="I398" t="s">
        <v>1693</v>
      </c>
      <c r="J398" s="8">
        <v>46064</v>
      </c>
      <c r="K398">
        <v>106</v>
      </c>
    </row>
    <row r="399" spans="1:11" x14ac:dyDescent="0.35">
      <c r="A399" t="s">
        <v>2415</v>
      </c>
      <c r="B399" t="s">
        <v>1626</v>
      </c>
      <c r="C399" t="s">
        <v>126</v>
      </c>
      <c r="D399" s="8">
        <v>46082</v>
      </c>
      <c r="E399" t="s">
        <v>1651</v>
      </c>
      <c r="F399" t="s">
        <v>2416</v>
      </c>
      <c r="G399" s="6">
        <v>1035</v>
      </c>
      <c r="H399" t="s">
        <v>1653</v>
      </c>
      <c r="J399" s="8">
        <v>46085</v>
      </c>
      <c r="K399">
        <v>0</v>
      </c>
    </row>
    <row r="400" spans="1:11" x14ac:dyDescent="0.35">
      <c r="A400" t="s">
        <v>2417</v>
      </c>
      <c r="B400" t="s">
        <v>615</v>
      </c>
      <c r="C400" t="s">
        <v>388</v>
      </c>
      <c r="D400" s="8">
        <v>46075</v>
      </c>
      <c r="E400" t="s">
        <v>1660</v>
      </c>
      <c r="F400" t="s">
        <v>2418</v>
      </c>
      <c r="G400" s="6">
        <v>15071</v>
      </c>
      <c r="H400" t="s">
        <v>1656</v>
      </c>
      <c r="J400" s="8">
        <v>46070</v>
      </c>
      <c r="K400">
        <v>0</v>
      </c>
    </row>
    <row r="401" spans="1:11" x14ac:dyDescent="0.35">
      <c r="A401" t="s">
        <v>2419</v>
      </c>
      <c r="B401" t="s">
        <v>901</v>
      </c>
      <c r="C401" t="s">
        <v>480</v>
      </c>
      <c r="D401" s="8">
        <v>46143</v>
      </c>
      <c r="E401" t="s">
        <v>1651</v>
      </c>
      <c r="F401" t="s">
        <v>2420</v>
      </c>
      <c r="G401" s="6">
        <v>17939</v>
      </c>
      <c r="H401" t="s">
        <v>1656</v>
      </c>
      <c r="J401" s="8">
        <v>46153</v>
      </c>
      <c r="K401">
        <v>0</v>
      </c>
    </row>
    <row r="402" spans="1:11" x14ac:dyDescent="0.35">
      <c r="A402" t="s">
        <v>2421</v>
      </c>
      <c r="B402" t="s">
        <v>856</v>
      </c>
      <c r="C402" t="s">
        <v>488</v>
      </c>
      <c r="D402" s="8">
        <v>46089</v>
      </c>
      <c r="E402" t="s">
        <v>1660</v>
      </c>
      <c r="F402" t="s">
        <v>2422</v>
      </c>
      <c r="G402" s="6">
        <v>2658</v>
      </c>
      <c r="H402" t="s">
        <v>1656</v>
      </c>
      <c r="J402" s="8">
        <v>46107</v>
      </c>
      <c r="K402">
        <v>0</v>
      </c>
    </row>
    <row r="403" spans="1:11" x14ac:dyDescent="0.35">
      <c r="A403" t="s">
        <v>2423</v>
      </c>
      <c r="B403" t="s">
        <v>985</v>
      </c>
      <c r="C403" t="s">
        <v>260</v>
      </c>
      <c r="D403" s="8">
        <v>46065</v>
      </c>
      <c r="E403" t="s">
        <v>1651</v>
      </c>
      <c r="F403" t="s">
        <v>2424</v>
      </c>
      <c r="G403" s="6">
        <v>8182</v>
      </c>
      <c r="H403" t="s">
        <v>1656</v>
      </c>
      <c r="J403" s="8">
        <v>46063</v>
      </c>
      <c r="K403">
        <v>0</v>
      </c>
    </row>
    <row r="404" spans="1:11" x14ac:dyDescent="0.35">
      <c r="A404" t="s">
        <v>2425</v>
      </c>
      <c r="B404" t="s">
        <v>613</v>
      </c>
      <c r="C404" t="s">
        <v>516</v>
      </c>
      <c r="D404" s="8">
        <v>46116</v>
      </c>
      <c r="E404" t="s">
        <v>1660</v>
      </c>
      <c r="F404" t="s">
        <v>2426</v>
      </c>
      <c r="G404" s="6">
        <v>11052</v>
      </c>
      <c r="H404" t="s">
        <v>1656</v>
      </c>
      <c r="J404" s="8">
        <v>46122</v>
      </c>
      <c r="K404">
        <v>0</v>
      </c>
    </row>
    <row r="405" spans="1:11" x14ac:dyDescent="0.35">
      <c r="A405" t="s">
        <v>2427</v>
      </c>
      <c r="B405" t="s">
        <v>625</v>
      </c>
      <c r="C405" t="s">
        <v>380</v>
      </c>
      <c r="D405" s="8">
        <v>46083</v>
      </c>
      <c r="E405" t="s">
        <v>1660</v>
      </c>
      <c r="F405" t="s">
        <v>2428</v>
      </c>
      <c r="G405" s="6">
        <v>10447</v>
      </c>
      <c r="H405" t="s">
        <v>1656</v>
      </c>
      <c r="J405" s="8">
        <v>46093</v>
      </c>
      <c r="K405">
        <v>0</v>
      </c>
    </row>
    <row r="406" spans="1:11" x14ac:dyDescent="0.35">
      <c r="A406" t="s">
        <v>2429</v>
      </c>
      <c r="B406" t="s">
        <v>1516</v>
      </c>
      <c r="C406" t="s">
        <v>215</v>
      </c>
      <c r="D406" s="8">
        <v>46164</v>
      </c>
      <c r="E406" t="s">
        <v>1651</v>
      </c>
      <c r="F406" t="s">
        <v>2430</v>
      </c>
      <c r="G406" s="6">
        <v>20316</v>
      </c>
      <c r="H406" t="s">
        <v>1656</v>
      </c>
      <c r="J406" s="8">
        <v>46181</v>
      </c>
      <c r="K406">
        <v>0</v>
      </c>
    </row>
    <row r="407" spans="1:11" x14ac:dyDescent="0.35">
      <c r="A407" t="s">
        <v>2431</v>
      </c>
      <c r="B407" t="s">
        <v>1434</v>
      </c>
      <c r="C407" t="s">
        <v>427</v>
      </c>
      <c r="D407" s="8">
        <v>46042</v>
      </c>
      <c r="E407" t="s">
        <v>1651</v>
      </c>
      <c r="F407" t="s">
        <v>2432</v>
      </c>
      <c r="G407" s="6">
        <v>16301</v>
      </c>
      <c r="H407" t="s">
        <v>1656</v>
      </c>
      <c r="J407" s="8">
        <v>46065</v>
      </c>
      <c r="K407">
        <v>0</v>
      </c>
    </row>
    <row r="408" spans="1:11" x14ac:dyDescent="0.35">
      <c r="A408" t="s">
        <v>2433</v>
      </c>
      <c r="B408" t="s">
        <v>1096</v>
      </c>
      <c r="C408" t="s">
        <v>224</v>
      </c>
      <c r="D408" s="8">
        <v>46063</v>
      </c>
      <c r="E408" t="s">
        <v>1660</v>
      </c>
      <c r="F408" t="s">
        <v>2434</v>
      </c>
      <c r="G408" s="6">
        <v>15021</v>
      </c>
      <c r="H408" t="s">
        <v>1656</v>
      </c>
      <c r="J408" s="8">
        <v>46077</v>
      </c>
      <c r="K408">
        <v>0</v>
      </c>
    </row>
    <row r="409" spans="1:11" x14ac:dyDescent="0.35">
      <c r="A409" t="s">
        <v>2435</v>
      </c>
      <c r="B409" t="s">
        <v>866</v>
      </c>
      <c r="C409" t="s">
        <v>132</v>
      </c>
      <c r="D409" s="8">
        <v>46106</v>
      </c>
      <c r="E409" t="s">
        <v>1660</v>
      </c>
      <c r="F409" t="s">
        <v>2436</v>
      </c>
      <c r="G409" s="6">
        <v>9210</v>
      </c>
      <c r="H409" t="s">
        <v>1656</v>
      </c>
      <c r="J409" s="8">
        <v>46102</v>
      </c>
      <c r="K409">
        <v>0</v>
      </c>
    </row>
    <row r="410" spans="1:11" x14ac:dyDescent="0.35">
      <c r="A410" t="s">
        <v>2437</v>
      </c>
      <c r="B410" t="s">
        <v>845</v>
      </c>
      <c r="C410" t="s">
        <v>388</v>
      </c>
      <c r="D410" s="8">
        <v>46112</v>
      </c>
      <c r="E410" t="s">
        <v>1651</v>
      </c>
      <c r="F410" t="s">
        <v>2438</v>
      </c>
      <c r="G410" s="6">
        <v>13733</v>
      </c>
      <c r="H410" t="s">
        <v>1656</v>
      </c>
      <c r="J410" s="8">
        <v>46115</v>
      </c>
      <c r="K410">
        <v>0</v>
      </c>
    </row>
    <row r="411" spans="1:11" x14ac:dyDescent="0.35">
      <c r="A411" t="s">
        <v>2439</v>
      </c>
      <c r="B411" t="s">
        <v>1234</v>
      </c>
      <c r="C411" t="s">
        <v>511</v>
      </c>
      <c r="D411" s="8">
        <v>46112</v>
      </c>
      <c r="E411" t="s">
        <v>1651</v>
      </c>
      <c r="F411" t="s">
        <v>2440</v>
      </c>
      <c r="G411" s="6">
        <v>15890</v>
      </c>
      <c r="H411" t="s">
        <v>1656</v>
      </c>
      <c r="J411" s="8">
        <v>46130</v>
      </c>
      <c r="K411">
        <v>0</v>
      </c>
    </row>
    <row r="412" spans="1:11" x14ac:dyDescent="0.35">
      <c r="A412" t="s">
        <v>2441</v>
      </c>
      <c r="B412" t="s">
        <v>803</v>
      </c>
      <c r="C412" t="s">
        <v>196</v>
      </c>
      <c r="D412" s="8">
        <v>46100</v>
      </c>
      <c r="E412" t="s">
        <v>1651</v>
      </c>
      <c r="F412" t="s">
        <v>2442</v>
      </c>
      <c r="G412" s="6">
        <v>11495</v>
      </c>
      <c r="H412" t="s">
        <v>1656</v>
      </c>
      <c r="J412" s="8">
        <v>46106</v>
      </c>
      <c r="K412">
        <v>0</v>
      </c>
    </row>
    <row r="413" spans="1:11" x14ac:dyDescent="0.35">
      <c r="A413" t="s">
        <v>2443</v>
      </c>
      <c r="B413" t="s">
        <v>1218</v>
      </c>
      <c r="C413" t="s">
        <v>120</v>
      </c>
      <c r="D413" s="8">
        <v>46104</v>
      </c>
      <c r="E413" t="s">
        <v>1651</v>
      </c>
      <c r="F413" t="s">
        <v>2444</v>
      </c>
      <c r="G413" s="6">
        <v>11699</v>
      </c>
      <c r="H413" t="s">
        <v>1656</v>
      </c>
      <c r="J413" s="8">
        <v>46108</v>
      </c>
      <c r="K413">
        <v>0</v>
      </c>
    </row>
    <row r="414" spans="1:11" x14ac:dyDescent="0.35">
      <c r="A414" t="s">
        <v>2445</v>
      </c>
      <c r="B414" t="s">
        <v>993</v>
      </c>
      <c r="C414" t="s">
        <v>240</v>
      </c>
      <c r="D414" s="8">
        <v>46122</v>
      </c>
      <c r="E414" t="s">
        <v>1660</v>
      </c>
      <c r="F414" t="s">
        <v>2446</v>
      </c>
      <c r="G414" s="6">
        <v>21250</v>
      </c>
      <c r="H414" t="s">
        <v>1656</v>
      </c>
      <c r="J414" s="8">
        <v>46117</v>
      </c>
      <c r="K414">
        <v>0</v>
      </c>
    </row>
    <row r="415" spans="1:11" x14ac:dyDescent="0.35">
      <c r="A415" t="s">
        <v>2447</v>
      </c>
      <c r="B415" t="s">
        <v>695</v>
      </c>
      <c r="C415" t="s">
        <v>537</v>
      </c>
      <c r="D415" s="8">
        <v>46090</v>
      </c>
      <c r="E415" t="s">
        <v>1651</v>
      </c>
      <c r="F415" t="s">
        <v>2448</v>
      </c>
      <c r="G415" s="6">
        <v>12630</v>
      </c>
      <c r="H415" t="s">
        <v>1656</v>
      </c>
      <c r="J415" s="8">
        <v>46102</v>
      </c>
      <c r="K415">
        <v>0</v>
      </c>
    </row>
    <row r="416" spans="1:11" x14ac:dyDescent="0.35">
      <c r="A416" t="s">
        <v>2449</v>
      </c>
      <c r="B416" t="s">
        <v>594</v>
      </c>
      <c r="C416" t="s">
        <v>210</v>
      </c>
      <c r="D416" s="8">
        <v>46091</v>
      </c>
      <c r="E416" t="s">
        <v>1651</v>
      </c>
      <c r="F416" t="s">
        <v>2450</v>
      </c>
      <c r="G416" s="6">
        <v>949</v>
      </c>
      <c r="H416" t="s">
        <v>1656</v>
      </c>
      <c r="J416" s="8">
        <v>46101</v>
      </c>
      <c r="K416">
        <v>0</v>
      </c>
    </row>
    <row r="417" spans="1:11" x14ac:dyDescent="0.35">
      <c r="A417" t="s">
        <v>2451</v>
      </c>
      <c r="B417" t="s">
        <v>799</v>
      </c>
      <c r="C417" t="s">
        <v>215</v>
      </c>
      <c r="D417" s="8">
        <v>46059</v>
      </c>
      <c r="E417" t="s">
        <v>1651</v>
      </c>
      <c r="F417" t="s">
        <v>2452</v>
      </c>
      <c r="G417" s="6">
        <v>17160</v>
      </c>
      <c r="H417" t="s">
        <v>1656</v>
      </c>
      <c r="J417" s="8">
        <v>46081</v>
      </c>
      <c r="K417">
        <v>0</v>
      </c>
    </row>
    <row r="418" spans="1:11" x14ac:dyDescent="0.35">
      <c r="A418" t="s">
        <v>2453</v>
      </c>
      <c r="B418" t="s">
        <v>1070</v>
      </c>
      <c r="C418" t="s">
        <v>212</v>
      </c>
      <c r="D418" s="8">
        <v>46130</v>
      </c>
      <c r="E418" t="s">
        <v>1660</v>
      </c>
      <c r="F418" t="s">
        <v>2454</v>
      </c>
      <c r="G418" s="6">
        <v>5322</v>
      </c>
      <c r="H418" t="s">
        <v>1656</v>
      </c>
      <c r="J418" s="8">
        <v>46133</v>
      </c>
      <c r="K418">
        <v>0</v>
      </c>
    </row>
    <row r="419" spans="1:11" x14ac:dyDescent="0.35">
      <c r="A419" t="s">
        <v>2455</v>
      </c>
      <c r="B419" t="s">
        <v>1570</v>
      </c>
      <c r="C419" t="s">
        <v>551</v>
      </c>
      <c r="D419" s="8">
        <v>46174</v>
      </c>
      <c r="E419" t="s">
        <v>1663</v>
      </c>
      <c r="F419" t="s">
        <v>2456</v>
      </c>
      <c r="G419" s="6">
        <v>18225</v>
      </c>
      <c r="H419" t="s">
        <v>1656</v>
      </c>
      <c r="J419" s="8">
        <v>46192</v>
      </c>
      <c r="K419">
        <v>0</v>
      </c>
    </row>
    <row r="420" spans="1:11" x14ac:dyDescent="0.35">
      <c r="A420" t="s">
        <v>2457</v>
      </c>
      <c r="B420" t="s">
        <v>1446</v>
      </c>
      <c r="C420" t="s">
        <v>325</v>
      </c>
      <c r="D420" s="8">
        <v>46135</v>
      </c>
      <c r="E420" t="s">
        <v>1660</v>
      </c>
      <c r="F420" t="s">
        <v>2458</v>
      </c>
      <c r="G420" s="6">
        <v>19784</v>
      </c>
      <c r="H420" t="s">
        <v>1656</v>
      </c>
      <c r="J420" s="8">
        <v>46146</v>
      </c>
      <c r="K420">
        <v>0</v>
      </c>
    </row>
    <row r="421" spans="1:11" x14ac:dyDescent="0.35">
      <c r="A421" t="s">
        <v>2459</v>
      </c>
      <c r="B421" t="s">
        <v>901</v>
      </c>
      <c r="C421" t="s">
        <v>117</v>
      </c>
      <c r="D421" s="8">
        <v>46062</v>
      </c>
      <c r="E421" t="s">
        <v>1651</v>
      </c>
      <c r="F421" t="s">
        <v>2460</v>
      </c>
      <c r="G421" s="6">
        <v>2749</v>
      </c>
      <c r="H421" t="s">
        <v>1656</v>
      </c>
      <c r="J421" s="8">
        <v>46067</v>
      </c>
      <c r="K421">
        <v>0</v>
      </c>
    </row>
    <row r="422" spans="1:11" x14ac:dyDescent="0.35">
      <c r="A422" t="s">
        <v>2461</v>
      </c>
      <c r="B422" t="s">
        <v>911</v>
      </c>
      <c r="C422" t="s">
        <v>190</v>
      </c>
      <c r="D422" s="8">
        <v>46047</v>
      </c>
      <c r="E422" t="s">
        <v>1651</v>
      </c>
      <c r="F422" t="s">
        <v>2462</v>
      </c>
      <c r="G422" s="6">
        <v>19954</v>
      </c>
      <c r="H422" t="s">
        <v>1656</v>
      </c>
      <c r="J422" s="8">
        <v>46065</v>
      </c>
      <c r="K422">
        <v>0</v>
      </c>
    </row>
    <row r="423" spans="1:11" x14ac:dyDescent="0.35">
      <c r="A423" t="s">
        <v>2463</v>
      </c>
      <c r="B423" t="s">
        <v>1270</v>
      </c>
      <c r="C423" t="s">
        <v>401</v>
      </c>
      <c r="D423" s="8">
        <v>46097</v>
      </c>
      <c r="E423" t="s">
        <v>1663</v>
      </c>
      <c r="F423" t="s">
        <v>2464</v>
      </c>
      <c r="G423" s="6">
        <v>14028</v>
      </c>
      <c r="H423" t="s">
        <v>1656</v>
      </c>
      <c r="J423" s="8">
        <v>46122</v>
      </c>
      <c r="K423">
        <v>0</v>
      </c>
    </row>
    <row r="424" spans="1:11" x14ac:dyDescent="0.35">
      <c r="A424" t="s">
        <v>2465</v>
      </c>
      <c r="B424" t="s">
        <v>817</v>
      </c>
      <c r="C424" t="s">
        <v>404</v>
      </c>
      <c r="D424" s="8">
        <v>46071</v>
      </c>
      <c r="E424" t="s">
        <v>1660</v>
      </c>
      <c r="F424" t="s">
        <v>2466</v>
      </c>
      <c r="G424" s="6">
        <v>15976</v>
      </c>
      <c r="H424" t="s">
        <v>1656</v>
      </c>
      <c r="J424" s="8">
        <v>46094</v>
      </c>
      <c r="K424">
        <v>0</v>
      </c>
    </row>
    <row r="425" spans="1:11" x14ac:dyDescent="0.35">
      <c r="A425" t="s">
        <v>2467</v>
      </c>
      <c r="B425" t="s">
        <v>1424</v>
      </c>
      <c r="C425" t="s">
        <v>407</v>
      </c>
      <c r="D425" s="8">
        <v>46124</v>
      </c>
      <c r="E425" t="s">
        <v>1651</v>
      </c>
      <c r="F425" t="s">
        <v>2468</v>
      </c>
      <c r="G425" s="6">
        <v>3345</v>
      </c>
      <c r="H425" t="s">
        <v>1656</v>
      </c>
      <c r="J425" s="8">
        <v>46138</v>
      </c>
      <c r="K425">
        <v>0</v>
      </c>
    </row>
    <row r="426" spans="1:11" x14ac:dyDescent="0.35">
      <c r="A426" t="s">
        <v>2469</v>
      </c>
      <c r="B426" t="s">
        <v>851</v>
      </c>
      <c r="C426" t="s">
        <v>296</v>
      </c>
      <c r="D426" s="8">
        <v>46122</v>
      </c>
      <c r="E426" t="s">
        <v>1651</v>
      </c>
      <c r="F426" t="s">
        <v>2470</v>
      </c>
      <c r="G426" s="6">
        <v>16298</v>
      </c>
      <c r="H426" t="s">
        <v>1656</v>
      </c>
      <c r="J426" s="8">
        <v>46129</v>
      </c>
      <c r="K426">
        <v>0</v>
      </c>
    </row>
    <row r="427" spans="1:11" x14ac:dyDescent="0.35">
      <c r="A427" t="s">
        <v>2471</v>
      </c>
      <c r="B427" t="s">
        <v>1246</v>
      </c>
      <c r="C427" t="s">
        <v>357</v>
      </c>
      <c r="E427" t="s">
        <v>1651</v>
      </c>
      <c r="G427" s="6">
        <v>13069</v>
      </c>
      <c r="H427" t="s">
        <v>1712</v>
      </c>
      <c r="I427" t="s">
        <v>1690</v>
      </c>
      <c r="J427" s="8">
        <v>46120</v>
      </c>
      <c r="K427">
        <v>50</v>
      </c>
    </row>
    <row r="428" spans="1:11" x14ac:dyDescent="0.35">
      <c r="A428" t="s">
        <v>2472</v>
      </c>
      <c r="B428" t="s">
        <v>1236</v>
      </c>
      <c r="C428" t="s">
        <v>339</v>
      </c>
      <c r="D428" s="8">
        <v>46093</v>
      </c>
      <c r="E428" t="s">
        <v>1651</v>
      </c>
      <c r="F428" t="s">
        <v>2473</v>
      </c>
      <c r="G428" s="6">
        <v>9899</v>
      </c>
      <c r="H428" t="s">
        <v>1656</v>
      </c>
      <c r="J428" s="8">
        <v>46111</v>
      </c>
      <c r="K428">
        <v>0</v>
      </c>
    </row>
    <row r="429" spans="1:11" x14ac:dyDescent="0.35">
      <c r="A429" t="s">
        <v>2474</v>
      </c>
      <c r="B429" t="s">
        <v>1630</v>
      </c>
      <c r="C429" t="s">
        <v>535</v>
      </c>
      <c r="D429" s="8">
        <v>46134</v>
      </c>
      <c r="E429" t="s">
        <v>1663</v>
      </c>
      <c r="F429" t="s">
        <v>2475</v>
      </c>
      <c r="G429" s="6">
        <v>21465</v>
      </c>
      <c r="H429" t="s">
        <v>1656</v>
      </c>
      <c r="J429" s="8">
        <v>46158</v>
      </c>
      <c r="K429">
        <v>0</v>
      </c>
    </row>
    <row r="430" spans="1:11" x14ac:dyDescent="0.35">
      <c r="A430" t="s">
        <v>2476</v>
      </c>
      <c r="B430" t="s">
        <v>1262</v>
      </c>
      <c r="C430" t="s">
        <v>345</v>
      </c>
      <c r="D430" s="8">
        <v>46095</v>
      </c>
      <c r="E430" t="s">
        <v>1651</v>
      </c>
      <c r="F430" t="s">
        <v>2477</v>
      </c>
      <c r="G430" s="6">
        <v>4084</v>
      </c>
      <c r="H430" t="s">
        <v>1656</v>
      </c>
      <c r="J430" s="8">
        <v>46110</v>
      </c>
      <c r="K430">
        <v>0</v>
      </c>
    </row>
    <row r="431" spans="1:11" x14ac:dyDescent="0.35">
      <c r="A431" t="s">
        <v>2478</v>
      </c>
      <c r="B431" t="s">
        <v>637</v>
      </c>
      <c r="C431" t="s">
        <v>83</v>
      </c>
      <c r="D431" s="8">
        <v>46102</v>
      </c>
      <c r="E431" t="s">
        <v>1660</v>
      </c>
      <c r="F431" t="s">
        <v>2479</v>
      </c>
      <c r="G431" s="6">
        <v>21330</v>
      </c>
      <c r="H431" t="s">
        <v>1656</v>
      </c>
      <c r="J431" s="8">
        <v>46106</v>
      </c>
      <c r="K431">
        <v>0</v>
      </c>
    </row>
  </sheetData>
  <conditionalFormatting sqref="A2:K431">
    <cfRule type="expression" dxfId="1" priority="1">
      <formula>OR($H2="Overdue",$H2="On Hold",$H2="Returned")</formula>
    </cfRule>
  </conditionalFormatting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261"/>
  <sheetViews>
    <sheetView tabSelected="1" workbookViewId="0">
      <pane ySplit="1" topLeftCell="A2" activePane="bottomLeft" state="frozen"/>
      <selection pane="bottomLeft" activeCell="E24" sqref="E24"/>
    </sheetView>
  </sheetViews>
  <sheetFormatPr defaultRowHeight="14.5" x14ac:dyDescent="0.35"/>
  <cols>
    <col min="1" max="1" width="14" customWidth="1"/>
    <col min="2" max="2" width="27" customWidth="1"/>
    <col min="3" max="3" width="13" customWidth="1"/>
    <col min="4" max="4" width="20" customWidth="1"/>
    <col min="5" max="5" width="26" customWidth="1"/>
    <col min="6" max="6" width="14" customWidth="1"/>
    <col min="7" max="7" width="12" customWidth="1"/>
    <col min="8" max="8" width="10" customWidth="1"/>
    <col min="9" max="9" width="13" customWidth="1"/>
    <col min="10" max="10" width="15" customWidth="1"/>
    <col min="11" max="11" width="43" customWidth="1"/>
  </cols>
  <sheetData>
    <row r="1" spans="1:11" x14ac:dyDescent="0.35">
      <c r="A1" s="5" t="s">
        <v>2480</v>
      </c>
      <c r="B1" s="5" t="s">
        <v>2481</v>
      </c>
      <c r="C1" s="5" t="s">
        <v>2482</v>
      </c>
      <c r="D1" s="5" t="s">
        <v>2483</v>
      </c>
      <c r="E1" s="5" t="s">
        <v>2484</v>
      </c>
      <c r="F1" s="5" t="s">
        <v>2485</v>
      </c>
      <c r="G1" s="5" t="s">
        <v>2486</v>
      </c>
      <c r="H1" s="5" t="s">
        <v>2487</v>
      </c>
      <c r="I1" s="5" t="s">
        <v>575</v>
      </c>
      <c r="J1" s="5" t="s">
        <v>1649</v>
      </c>
      <c r="K1" s="5" t="s">
        <v>2488</v>
      </c>
    </row>
    <row r="2" spans="1:11" x14ac:dyDescent="0.35">
      <c r="A2" t="s">
        <v>2489</v>
      </c>
      <c r="B2" t="s">
        <v>2490</v>
      </c>
      <c r="C2" t="s">
        <v>2491</v>
      </c>
      <c r="D2" t="s">
        <v>369</v>
      </c>
      <c r="E2" t="s">
        <v>673</v>
      </c>
      <c r="F2" s="8">
        <v>46071</v>
      </c>
      <c r="G2" s="8">
        <v>46083</v>
      </c>
      <c r="H2" t="s">
        <v>2492</v>
      </c>
      <c r="I2" t="s">
        <v>2493</v>
      </c>
      <c r="J2">
        <v>87</v>
      </c>
      <c r="K2" t="s">
        <v>2494</v>
      </c>
    </row>
    <row r="3" spans="1:11" x14ac:dyDescent="0.35">
      <c r="A3" t="s">
        <v>2495</v>
      </c>
      <c r="B3" t="s">
        <v>2496</v>
      </c>
      <c r="C3" t="s">
        <v>2497</v>
      </c>
      <c r="E3" t="s">
        <v>641</v>
      </c>
      <c r="F3" s="8">
        <v>46129</v>
      </c>
      <c r="G3" s="8">
        <v>46146</v>
      </c>
      <c r="H3" t="s">
        <v>2498</v>
      </c>
      <c r="I3" t="s">
        <v>2499</v>
      </c>
      <c r="J3">
        <v>24</v>
      </c>
      <c r="K3" t="s">
        <v>2500</v>
      </c>
    </row>
    <row r="4" spans="1:11" x14ac:dyDescent="0.35">
      <c r="A4" t="s">
        <v>2501</v>
      </c>
      <c r="B4" t="s">
        <v>2502</v>
      </c>
      <c r="C4" t="s">
        <v>2503</v>
      </c>
      <c r="D4" t="s">
        <v>501</v>
      </c>
      <c r="E4" t="s">
        <v>1560</v>
      </c>
      <c r="F4" s="8">
        <v>46028</v>
      </c>
      <c r="G4" s="8">
        <v>46164</v>
      </c>
      <c r="H4" t="s">
        <v>2498</v>
      </c>
      <c r="I4" t="s">
        <v>2499</v>
      </c>
      <c r="J4">
        <v>6</v>
      </c>
      <c r="K4" t="s">
        <v>2504</v>
      </c>
    </row>
    <row r="5" spans="1:11" x14ac:dyDescent="0.35">
      <c r="A5" t="s">
        <v>2505</v>
      </c>
      <c r="B5" t="s">
        <v>2496</v>
      </c>
      <c r="C5" t="s">
        <v>2497</v>
      </c>
      <c r="D5" t="s">
        <v>501</v>
      </c>
      <c r="E5" t="s">
        <v>1078</v>
      </c>
      <c r="F5" s="8">
        <v>46051</v>
      </c>
      <c r="G5" s="8">
        <v>46078</v>
      </c>
      <c r="H5" t="s">
        <v>2506</v>
      </c>
      <c r="I5" t="s">
        <v>2499</v>
      </c>
      <c r="J5">
        <v>92</v>
      </c>
      <c r="K5" t="s">
        <v>2504</v>
      </c>
    </row>
    <row r="6" spans="1:11" x14ac:dyDescent="0.35">
      <c r="A6" t="s">
        <v>2507</v>
      </c>
      <c r="B6" t="s">
        <v>2508</v>
      </c>
      <c r="C6" t="s">
        <v>2497</v>
      </c>
      <c r="D6" t="s">
        <v>319</v>
      </c>
      <c r="E6" t="s">
        <v>933</v>
      </c>
      <c r="F6" s="8">
        <v>46074</v>
      </c>
      <c r="G6" s="8">
        <v>46134</v>
      </c>
      <c r="H6" t="s">
        <v>2498</v>
      </c>
      <c r="I6" t="s">
        <v>2509</v>
      </c>
      <c r="J6">
        <v>0</v>
      </c>
    </row>
    <row r="7" spans="1:11" x14ac:dyDescent="0.35">
      <c r="A7" t="s">
        <v>2510</v>
      </c>
      <c r="B7" t="s">
        <v>2511</v>
      </c>
      <c r="C7" t="s">
        <v>2512</v>
      </c>
      <c r="D7" t="s">
        <v>563</v>
      </c>
      <c r="E7" t="s">
        <v>2386</v>
      </c>
      <c r="F7" s="8">
        <v>46163</v>
      </c>
      <c r="G7" s="8">
        <v>46181</v>
      </c>
      <c r="H7" t="s">
        <v>2492</v>
      </c>
      <c r="I7" t="s">
        <v>2513</v>
      </c>
      <c r="J7">
        <v>0</v>
      </c>
      <c r="K7" t="s">
        <v>2504</v>
      </c>
    </row>
    <row r="8" spans="1:11" x14ac:dyDescent="0.35">
      <c r="A8" t="s">
        <v>2514</v>
      </c>
      <c r="B8" t="s">
        <v>2511</v>
      </c>
      <c r="C8" t="s">
        <v>2497</v>
      </c>
      <c r="D8" t="s">
        <v>319</v>
      </c>
      <c r="E8" t="s">
        <v>1600</v>
      </c>
      <c r="F8" s="8">
        <v>46035</v>
      </c>
      <c r="G8" s="8">
        <v>46144</v>
      </c>
      <c r="H8" t="s">
        <v>2506</v>
      </c>
      <c r="I8" t="s">
        <v>2493</v>
      </c>
      <c r="J8">
        <v>26</v>
      </c>
      <c r="K8" t="s">
        <v>2515</v>
      </c>
    </row>
    <row r="9" spans="1:11" x14ac:dyDescent="0.35">
      <c r="A9" t="s">
        <v>2516</v>
      </c>
      <c r="B9" t="s">
        <v>2496</v>
      </c>
      <c r="C9" t="s">
        <v>2503</v>
      </c>
      <c r="D9" t="s">
        <v>325</v>
      </c>
      <c r="E9" t="s">
        <v>747</v>
      </c>
      <c r="F9" s="8">
        <v>46110</v>
      </c>
      <c r="G9" s="8">
        <v>46135</v>
      </c>
      <c r="H9" t="s">
        <v>2492</v>
      </c>
      <c r="I9" t="s">
        <v>2499</v>
      </c>
      <c r="J9">
        <v>35</v>
      </c>
      <c r="K9" t="s">
        <v>2517</v>
      </c>
    </row>
    <row r="10" spans="1:11" x14ac:dyDescent="0.35">
      <c r="A10" t="s">
        <v>2518</v>
      </c>
      <c r="B10" t="s">
        <v>2502</v>
      </c>
      <c r="C10" t="s">
        <v>2519</v>
      </c>
      <c r="D10" t="s">
        <v>98</v>
      </c>
      <c r="E10" t="s">
        <v>1851</v>
      </c>
      <c r="F10" s="8">
        <v>46025</v>
      </c>
      <c r="G10" s="8">
        <v>46146</v>
      </c>
      <c r="H10" t="s">
        <v>2498</v>
      </c>
      <c r="I10" t="s">
        <v>2513</v>
      </c>
      <c r="J10">
        <v>24</v>
      </c>
      <c r="K10" t="s">
        <v>2520</v>
      </c>
    </row>
    <row r="11" spans="1:11" x14ac:dyDescent="0.35">
      <c r="A11" t="s">
        <v>2521</v>
      </c>
      <c r="B11" t="s">
        <v>2496</v>
      </c>
      <c r="C11" t="s">
        <v>2522</v>
      </c>
      <c r="D11" t="s">
        <v>561</v>
      </c>
      <c r="E11" t="s">
        <v>699</v>
      </c>
      <c r="F11" s="8">
        <v>46108</v>
      </c>
      <c r="G11" s="8">
        <v>46134</v>
      </c>
      <c r="H11" t="s">
        <v>2506</v>
      </c>
      <c r="I11" t="s">
        <v>2513</v>
      </c>
      <c r="J11">
        <v>36</v>
      </c>
      <c r="K11" t="s">
        <v>2517</v>
      </c>
    </row>
    <row r="12" spans="1:11" x14ac:dyDescent="0.35">
      <c r="A12" t="s">
        <v>2523</v>
      </c>
      <c r="B12" t="s">
        <v>2508</v>
      </c>
      <c r="C12" t="s">
        <v>2522</v>
      </c>
      <c r="D12" t="s">
        <v>168</v>
      </c>
      <c r="E12" t="s">
        <v>1657</v>
      </c>
      <c r="F12" s="8">
        <v>46075</v>
      </c>
      <c r="G12" s="8">
        <v>46150</v>
      </c>
      <c r="H12" t="s">
        <v>2506</v>
      </c>
      <c r="I12" t="s">
        <v>2493</v>
      </c>
      <c r="J12">
        <v>20</v>
      </c>
      <c r="K12" t="s">
        <v>2515</v>
      </c>
    </row>
    <row r="13" spans="1:11" x14ac:dyDescent="0.35">
      <c r="A13" t="s">
        <v>2524</v>
      </c>
      <c r="B13" t="s">
        <v>2525</v>
      </c>
      <c r="C13" t="s">
        <v>2512</v>
      </c>
      <c r="D13" t="s">
        <v>183</v>
      </c>
      <c r="E13" t="s">
        <v>728</v>
      </c>
      <c r="F13" s="8">
        <v>46059</v>
      </c>
      <c r="G13" s="8">
        <v>46157</v>
      </c>
      <c r="H13" t="s">
        <v>2498</v>
      </c>
      <c r="I13" t="s">
        <v>2499</v>
      </c>
      <c r="J13">
        <v>13</v>
      </c>
      <c r="K13" t="s">
        <v>2517</v>
      </c>
    </row>
    <row r="14" spans="1:11" x14ac:dyDescent="0.35">
      <c r="A14" t="s">
        <v>2526</v>
      </c>
      <c r="B14" t="s">
        <v>2511</v>
      </c>
      <c r="C14" t="s">
        <v>2497</v>
      </c>
      <c r="D14" t="s">
        <v>246</v>
      </c>
      <c r="E14" t="s">
        <v>1919</v>
      </c>
      <c r="F14" s="8">
        <v>46033</v>
      </c>
      <c r="G14" s="8">
        <v>46049</v>
      </c>
      <c r="H14" t="s">
        <v>2492</v>
      </c>
      <c r="I14" t="s">
        <v>2513</v>
      </c>
      <c r="J14">
        <v>121</v>
      </c>
      <c r="K14" t="s">
        <v>2494</v>
      </c>
    </row>
    <row r="15" spans="1:11" x14ac:dyDescent="0.35">
      <c r="A15" t="s">
        <v>2527</v>
      </c>
      <c r="B15" t="s">
        <v>2502</v>
      </c>
      <c r="C15" t="s">
        <v>2491</v>
      </c>
      <c r="D15" t="s">
        <v>558</v>
      </c>
      <c r="E15" t="s">
        <v>2328</v>
      </c>
      <c r="F15" s="8">
        <v>46131</v>
      </c>
      <c r="G15" s="8">
        <v>46132</v>
      </c>
      <c r="H15" t="s">
        <v>2506</v>
      </c>
      <c r="I15" t="s">
        <v>2499</v>
      </c>
      <c r="J15">
        <v>38</v>
      </c>
      <c r="K15" t="s">
        <v>2504</v>
      </c>
    </row>
    <row r="16" spans="1:11" x14ac:dyDescent="0.35">
      <c r="A16" t="s">
        <v>2528</v>
      </c>
      <c r="B16" t="s">
        <v>2490</v>
      </c>
      <c r="C16" t="s">
        <v>2497</v>
      </c>
      <c r="D16" t="s">
        <v>284</v>
      </c>
      <c r="E16" t="s">
        <v>1122</v>
      </c>
      <c r="F16" s="8">
        <v>46091</v>
      </c>
      <c r="G16" s="8">
        <v>46105</v>
      </c>
      <c r="H16" t="s">
        <v>2492</v>
      </c>
      <c r="I16" t="s">
        <v>2513</v>
      </c>
      <c r="J16">
        <v>65</v>
      </c>
      <c r="K16" t="s">
        <v>2504</v>
      </c>
    </row>
    <row r="17" spans="1:11" x14ac:dyDescent="0.35">
      <c r="A17" t="s">
        <v>2529</v>
      </c>
      <c r="B17" t="s">
        <v>2502</v>
      </c>
      <c r="C17" t="s">
        <v>2512</v>
      </c>
      <c r="E17" t="s">
        <v>1009</v>
      </c>
      <c r="F17" s="8">
        <v>46075</v>
      </c>
      <c r="G17" s="8">
        <v>46158</v>
      </c>
      <c r="H17" t="s">
        <v>2492</v>
      </c>
      <c r="I17" t="s">
        <v>2513</v>
      </c>
      <c r="J17">
        <v>12</v>
      </c>
      <c r="K17" t="s">
        <v>2515</v>
      </c>
    </row>
    <row r="18" spans="1:11" x14ac:dyDescent="0.35">
      <c r="A18" t="s">
        <v>2530</v>
      </c>
      <c r="B18" t="s">
        <v>2502</v>
      </c>
      <c r="C18" t="s">
        <v>2497</v>
      </c>
      <c r="D18" t="s">
        <v>180</v>
      </c>
      <c r="E18" t="s">
        <v>1478</v>
      </c>
      <c r="F18" s="8">
        <v>46163</v>
      </c>
      <c r="G18" s="8">
        <v>46173</v>
      </c>
      <c r="H18" t="s">
        <v>2506</v>
      </c>
      <c r="I18" t="s">
        <v>2493</v>
      </c>
      <c r="J18">
        <v>0</v>
      </c>
      <c r="K18" t="s">
        <v>2520</v>
      </c>
    </row>
    <row r="19" spans="1:11" x14ac:dyDescent="0.35">
      <c r="A19" t="s">
        <v>2531</v>
      </c>
      <c r="B19" t="s">
        <v>2496</v>
      </c>
      <c r="C19" t="s">
        <v>2512</v>
      </c>
      <c r="D19" t="s">
        <v>165</v>
      </c>
      <c r="E19" t="s">
        <v>1934</v>
      </c>
      <c r="F19" s="8">
        <v>46155</v>
      </c>
      <c r="G19" s="8">
        <v>46189</v>
      </c>
      <c r="H19" t="s">
        <v>2506</v>
      </c>
      <c r="I19" t="s">
        <v>2513</v>
      </c>
      <c r="J19">
        <v>0</v>
      </c>
      <c r="K19" t="s">
        <v>2494</v>
      </c>
    </row>
    <row r="20" spans="1:11" x14ac:dyDescent="0.35">
      <c r="A20" t="s">
        <v>2532</v>
      </c>
      <c r="B20" t="s">
        <v>2490</v>
      </c>
      <c r="C20" t="s">
        <v>2512</v>
      </c>
      <c r="D20" t="s">
        <v>548</v>
      </c>
      <c r="E20" t="s">
        <v>2314</v>
      </c>
      <c r="F20" s="8">
        <v>46087</v>
      </c>
      <c r="G20" s="8">
        <v>46098</v>
      </c>
      <c r="H20" t="s">
        <v>2498</v>
      </c>
      <c r="I20" t="s">
        <v>2499</v>
      </c>
      <c r="J20">
        <v>72</v>
      </c>
      <c r="K20" t="s">
        <v>2517</v>
      </c>
    </row>
    <row r="21" spans="1:11" x14ac:dyDescent="0.35">
      <c r="A21" t="s">
        <v>2533</v>
      </c>
      <c r="B21" t="s">
        <v>2508</v>
      </c>
      <c r="C21" t="s">
        <v>2522</v>
      </c>
      <c r="D21" t="s">
        <v>372</v>
      </c>
      <c r="E21" t="s">
        <v>2308</v>
      </c>
      <c r="F21" s="8">
        <v>46071</v>
      </c>
      <c r="G21" s="8">
        <v>46156</v>
      </c>
      <c r="H21" t="s">
        <v>2506</v>
      </c>
      <c r="I21" t="s">
        <v>2493</v>
      </c>
      <c r="J21">
        <v>14</v>
      </c>
      <c r="K21" t="s">
        <v>2504</v>
      </c>
    </row>
    <row r="22" spans="1:11" x14ac:dyDescent="0.35">
      <c r="A22" t="s">
        <v>2534</v>
      </c>
      <c r="B22" t="s">
        <v>2490</v>
      </c>
      <c r="C22" t="s">
        <v>2519</v>
      </c>
      <c r="D22" t="s">
        <v>545</v>
      </c>
      <c r="E22" t="s">
        <v>2018</v>
      </c>
      <c r="F22" s="8">
        <v>46161</v>
      </c>
      <c r="G22" s="8">
        <v>46140</v>
      </c>
      <c r="H22" t="s">
        <v>2506</v>
      </c>
      <c r="I22" t="s">
        <v>2499</v>
      </c>
      <c r="J22">
        <v>30</v>
      </c>
      <c r="K22" t="s">
        <v>2520</v>
      </c>
    </row>
    <row r="23" spans="1:11" x14ac:dyDescent="0.35">
      <c r="A23" t="s">
        <v>2535</v>
      </c>
      <c r="B23" t="s">
        <v>2502</v>
      </c>
      <c r="C23" t="s">
        <v>2522</v>
      </c>
      <c r="E23" t="s">
        <v>1090</v>
      </c>
      <c r="F23" s="8">
        <v>46117</v>
      </c>
      <c r="G23" s="8">
        <v>46140</v>
      </c>
      <c r="H23" t="s">
        <v>2506</v>
      </c>
      <c r="I23" t="s">
        <v>2509</v>
      </c>
      <c r="J23">
        <v>0</v>
      </c>
    </row>
    <row r="24" spans="1:11" x14ac:dyDescent="0.35">
      <c r="A24" t="s">
        <v>2536</v>
      </c>
      <c r="B24" t="s">
        <v>2490</v>
      </c>
      <c r="C24" t="s">
        <v>2497</v>
      </c>
      <c r="D24" t="s">
        <v>117</v>
      </c>
      <c r="E24" t="s">
        <v>1384</v>
      </c>
      <c r="F24" s="8">
        <v>46043</v>
      </c>
      <c r="G24" s="8">
        <v>46145</v>
      </c>
      <c r="H24" t="s">
        <v>2506</v>
      </c>
      <c r="I24" t="s">
        <v>2513</v>
      </c>
      <c r="J24">
        <v>25</v>
      </c>
      <c r="K24" t="s">
        <v>2515</v>
      </c>
    </row>
    <row r="25" spans="1:11" x14ac:dyDescent="0.35">
      <c r="A25" t="s">
        <v>2537</v>
      </c>
      <c r="B25" t="s">
        <v>2511</v>
      </c>
      <c r="C25" t="s">
        <v>2519</v>
      </c>
      <c r="D25" t="s">
        <v>123</v>
      </c>
      <c r="E25" t="s">
        <v>1825</v>
      </c>
      <c r="F25" s="8">
        <v>46094</v>
      </c>
      <c r="G25" s="8">
        <v>46104</v>
      </c>
      <c r="H25" t="s">
        <v>2506</v>
      </c>
      <c r="I25" t="s">
        <v>2509</v>
      </c>
      <c r="J25">
        <v>0</v>
      </c>
    </row>
    <row r="26" spans="1:11" x14ac:dyDescent="0.35">
      <c r="A26" t="s">
        <v>2538</v>
      </c>
      <c r="B26" t="s">
        <v>2490</v>
      </c>
      <c r="C26" t="s">
        <v>2512</v>
      </c>
      <c r="E26" t="s">
        <v>1086</v>
      </c>
      <c r="F26" s="8">
        <v>46137</v>
      </c>
      <c r="G26" s="8">
        <v>46164</v>
      </c>
      <c r="H26" t="s">
        <v>2492</v>
      </c>
      <c r="I26" t="s">
        <v>2509</v>
      </c>
      <c r="J26">
        <v>0</v>
      </c>
    </row>
    <row r="27" spans="1:11" x14ac:dyDescent="0.35">
      <c r="A27" t="s">
        <v>2539</v>
      </c>
      <c r="B27" t="s">
        <v>2502</v>
      </c>
      <c r="C27" t="s">
        <v>2512</v>
      </c>
      <c r="D27" t="s">
        <v>123</v>
      </c>
      <c r="E27" t="s">
        <v>1314</v>
      </c>
      <c r="F27" s="8">
        <v>46072</v>
      </c>
      <c r="G27" s="8">
        <v>46079</v>
      </c>
      <c r="H27" t="s">
        <v>2498</v>
      </c>
      <c r="I27" t="s">
        <v>2513</v>
      </c>
      <c r="J27">
        <v>91</v>
      </c>
      <c r="K27" t="s">
        <v>2500</v>
      </c>
    </row>
    <row r="28" spans="1:11" x14ac:dyDescent="0.35">
      <c r="A28" t="s">
        <v>2540</v>
      </c>
      <c r="B28" t="s">
        <v>2508</v>
      </c>
      <c r="C28" t="s">
        <v>2519</v>
      </c>
      <c r="D28" t="s">
        <v>380</v>
      </c>
      <c r="E28" t="s">
        <v>1408</v>
      </c>
      <c r="F28" s="8">
        <v>46086</v>
      </c>
      <c r="G28" s="8">
        <v>46116</v>
      </c>
      <c r="H28" t="s">
        <v>2492</v>
      </c>
      <c r="I28" t="s">
        <v>2513</v>
      </c>
      <c r="J28">
        <v>54</v>
      </c>
      <c r="K28" t="s">
        <v>2520</v>
      </c>
    </row>
    <row r="29" spans="1:11" x14ac:dyDescent="0.35">
      <c r="A29" t="s">
        <v>2541</v>
      </c>
      <c r="B29" t="s">
        <v>2490</v>
      </c>
      <c r="C29" t="s">
        <v>2519</v>
      </c>
      <c r="E29" t="s">
        <v>1592</v>
      </c>
      <c r="F29" s="8">
        <v>46089</v>
      </c>
      <c r="G29" s="8">
        <v>46139</v>
      </c>
      <c r="H29" t="s">
        <v>2498</v>
      </c>
      <c r="I29" t="s">
        <v>2509</v>
      </c>
      <c r="J29">
        <v>0</v>
      </c>
    </row>
    <row r="30" spans="1:11" x14ac:dyDescent="0.35">
      <c r="A30" t="s">
        <v>2542</v>
      </c>
      <c r="B30" t="s">
        <v>2502</v>
      </c>
      <c r="C30" t="s">
        <v>2503</v>
      </c>
      <c r="D30" t="s">
        <v>401</v>
      </c>
      <c r="E30" t="s">
        <v>1802</v>
      </c>
      <c r="F30" s="8">
        <v>46102</v>
      </c>
      <c r="G30" s="8">
        <v>46136</v>
      </c>
      <c r="H30" t="s">
        <v>2498</v>
      </c>
      <c r="I30" t="s">
        <v>2509</v>
      </c>
      <c r="J30">
        <v>0</v>
      </c>
    </row>
    <row r="31" spans="1:11" x14ac:dyDescent="0.35">
      <c r="A31" t="s">
        <v>2543</v>
      </c>
      <c r="B31" t="s">
        <v>2508</v>
      </c>
      <c r="C31" t="s">
        <v>2497</v>
      </c>
      <c r="D31" t="s">
        <v>397</v>
      </c>
      <c r="E31" t="s">
        <v>1782</v>
      </c>
      <c r="F31" s="8">
        <v>46070</v>
      </c>
      <c r="G31" s="8">
        <v>46105</v>
      </c>
      <c r="H31" t="s">
        <v>2492</v>
      </c>
      <c r="I31" t="s">
        <v>2513</v>
      </c>
      <c r="J31">
        <v>65</v>
      </c>
      <c r="K31" t="s">
        <v>2517</v>
      </c>
    </row>
    <row r="32" spans="1:11" x14ac:dyDescent="0.35">
      <c r="A32" t="s">
        <v>2544</v>
      </c>
      <c r="B32" t="s">
        <v>2525</v>
      </c>
      <c r="C32" t="s">
        <v>2522</v>
      </c>
      <c r="D32" t="s">
        <v>313</v>
      </c>
      <c r="E32" t="s">
        <v>1214</v>
      </c>
      <c r="F32" s="8">
        <v>46056</v>
      </c>
      <c r="G32" s="8">
        <v>46145</v>
      </c>
      <c r="H32" t="s">
        <v>2506</v>
      </c>
      <c r="I32" t="s">
        <v>2493</v>
      </c>
      <c r="J32">
        <v>25</v>
      </c>
      <c r="K32" t="s">
        <v>2515</v>
      </c>
    </row>
    <row r="33" spans="1:11" x14ac:dyDescent="0.35">
      <c r="A33" t="s">
        <v>2545</v>
      </c>
      <c r="B33" t="s">
        <v>2525</v>
      </c>
      <c r="C33" t="s">
        <v>2512</v>
      </c>
      <c r="E33" t="s">
        <v>1792</v>
      </c>
      <c r="F33" s="8">
        <v>46020</v>
      </c>
      <c r="G33" s="8">
        <v>46029</v>
      </c>
      <c r="H33" t="s">
        <v>2498</v>
      </c>
      <c r="I33" t="s">
        <v>2499</v>
      </c>
      <c r="J33">
        <v>141</v>
      </c>
      <c r="K33" t="s">
        <v>2504</v>
      </c>
    </row>
    <row r="34" spans="1:11" x14ac:dyDescent="0.35">
      <c r="A34" t="s">
        <v>2546</v>
      </c>
      <c r="B34" t="s">
        <v>2525</v>
      </c>
      <c r="C34" t="s">
        <v>2519</v>
      </c>
      <c r="E34" t="s">
        <v>1362</v>
      </c>
      <c r="F34" s="8">
        <v>46092</v>
      </c>
      <c r="G34" s="8">
        <v>46123</v>
      </c>
      <c r="H34" t="s">
        <v>2492</v>
      </c>
      <c r="I34" t="s">
        <v>2499</v>
      </c>
      <c r="J34">
        <v>47</v>
      </c>
      <c r="K34" t="s">
        <v>2520</v>
      </c>
    </row>
    <row r="35" spans="1:11" x14ac:dyDescent="0.35">
      <c r="A35" t="s">
        <v>2547</v>
      </c>
      <c r="B35" t="s">
        <v>2508</v>
      </c>
      <c r="C35" t="s">
        <v>2522</v>
      </c>
      <c r="D35" t="s">
        <v>174</v>
      </c>
      <c r="E35" t="s">
        <v>1798</v>
      </c>
      <c r="F35" s="8">
        <v>46139</v>
      </c>
      <c r="G35" s="8">
        <v>46133</v>
      </c>
      <c r="H35" t="s">
        <v>2506</v>
      </c>
      <c r="I35" t="s">
        <v>2513</v>
      </c>
      <c r="J35">
        <v>37</v>
      </c>
      <c r="K35" t="s">
        <v>2517</v>
      </c>
    </row>
    <row r="36" spans="1:11" x14ac:dyDescent="0.35">
      <c r="A36" t="s">
        <v>2548</v>
      </c>
      <c r="B36" t="s">
        <v>2496</v>
      </c>
      <c r="C36" t="s">
        <v>2519</v>
      </c>
      <c r="D36" t="s">
        <v>339</v>
      </c>
      <c r="E36" t="s">
        <v>839</v>
      </c>
      <c r="F36" s="8">
        <v>46081</v>
      </c>
      <c r="G36" s="8">
        <v>46091</v>
      </c>
      <c r="H36" t="s">
        <v>2506</v>
      </c>
      <c r="I36" t="s">
        <v>2513</v>
      </c>
      <c r="J36">
        <v>79</v>
      </c>
      <c r="K36" t="s">
        <v>2500</v>
      </c>
    </row>
    <row r="37" spans="1:11" x14ac:dyDescent="0.35">
      <c r="A37" t="s">
        <v>2549</v>
      </c>
      <c r="B37" t="s">
        <v>2525</v>
      </c>
      <c r="C37" t="s">
        <v>2512</v>
      </c>
      <c r="D37" t="s">
        <v>69</v>
      </c>
      <c r="E37" t="s">
        <v>603</v>
      </c>
      <c r="F37" s="8">
        <v>46110</v>
      </c>
      <c r="G37" s="8">
        <v>46156</v>
      </c>
      <c r="H37" t="s">
        <v>2498</v>
      </c>
      <c r="I37" t="s">
        <v>2509</v>
      </c>
      <c r="J37">
        <v>0</v>
      </c>
    </row>
    <row r="38" spans="1:11" x14ac:dyDescent="0.35">
      <c r="A38" t="s">
        <v>2550</v>
      </c>
      <c r="B38" t="s">
        <v>2490</v>
      </c>
      <c r="C38" t="s">
        <v>2491</v>
      </c>
      <c r="E38" t="s">
        <v>1250</v>
      </c>
      <c r="F38" s="8">
        <v>46030</v>
      </c>
      <c r="G38" s="8">
        <v>46041</v>
      </c>
      <c r="H38" t="s">
        <v>2498</v>
      </c>
      <c r="I38" t="s">
        <v>2513</v>
      </c>
      <c r="J38">
        <v>129</v>
      </c>
      <c r="K38" t="s">
        <v>2494</v>
      </c>
    </row>
    <row r="39" spans="1:11" x14ac:dyDescent="0.35">
      <c r="A39" t="s">
        <v>2551</v>
      </c>
      <c r="B39" t="s">
        <v>2508</v>
      </c>
      <c r="C39" t="s">
        <v>2519</v>
      </c>
      <c r="D39" t="s">
        <v>351</v>
      </c>
      <c r="E39" t="s">
        <v>959</v>
      </c>
      <c r="F39" s="8">
        <v>46042</v>
      </c>
      <c r="G39" s="8">
        <v>46068</v>
      </c>
      <c r="H39" t="s">
        <v>2506</v>
      </c>
      <c r="I39" t="s">
        <v>2509</v>
      </c>
      <c r="J39">
        <v>0</v>
      </c>
    </row>
    <row r="40" spans="1:11" x14ac:dyDescent="0.35">
      <c r="A40" t="s">
        <v>2552</v>
      </c>
      <c r="B40" t="s">
        <v>2508</v>
      </c>
      <c r="C40" t="s">
        <v>2503</v>
      </c>
      <c r="D40" t="s">
        <v>488</v>
      </c>
      <c r="E40" t="s">
        <v>833</v>
      </c>
      <c r="F40" s="8">
        <v>46078</v>
      </c>
      <c r="G40" s="8">
        <v>46086</v>
      </c>
      <c r="H40" t="s">
        <v>2506</v>
      </c>
      <c r="I40" t="s">
        <v>2509</v>
      </c>
      <c r="J40">
        <v>0</v>
      </c>
    </row>
    <row r="41" spans="1:11" x14ac:dyDescent="0.35">
      <c r="A41" t="s">
        <v>2553</v>
      </c>
      <c r="B41" t="s">
        <v>2496</v>
      </c>
      <c r="C41" t="s">
        <v>2519</v>
      </c>
      <c r="D41" t="s">
        <v>149</v>
      </c>
      <c r="E41" t="s">
        <v>1438</v>
      </c>
      <c r="F41" s="8">
        <v>46112</v>
      </c>
      <c r="G41" s="8">
        <v>46132</v>
      </c>
      <c r="H41" t="s">
        <v>2498</v>
      </c>
      <c r="I41" t="s">
        <v>2509</v>
      </c>
      <c r="J41">
        <v>0</v>
      </c>
    </row>
    <row r="42" spans="1:11" x14ac:dyDescent="0.35">
      <c r="A42" t="s">
        <v>2554</v>
      </c>
      <c r="B42" t="s">
        <v>2511</v>
      </c>
      <c r="C42" t="s">
        <v>2497</v>
      </c>
      <c r="D42" t="s">
        <v>126</v>
      </c>
      <c r="E42" t="s">
        <v>2293</v>
      </c>
      <c r="F42" s="8">
        <v>46131</v>
      </c>
      <c r="G42" s="8">
        <v>46162</v>
      </c>
      <c r="H42" t="s">
        <v>2498</v>
      </c>
      <c r="I42" t="s">
        <v>2493</v>
      </c>
      <c r="J42">
        <v>8</v>
      </c>
      <c r="K42" t="s">
        <v>2515</v>
      </c>
    </row>
    <row r="43" spans="1:11" x14ac:dyDescent="0.35">
      <c r="A43" t="s">
        <v>2555</v>
      </c>
      <c r="B43" t="s">
        <v>2525</v>
      </c>
      <c r="C43" t="s">
        <v>2497</v>
      </c>
      <c r="D43" t="s">
        <v>249</v>
      </c>
      <c r="E43" t="s">
        <v>2026</v>
      </c>
      <c r="F43" s="8">
        <v>46052</v>
      </c>
      <c r="G43" s="8">
        <v>46143</v>
      </c>
      <c r="H43" t="s">
        <v>2498</v>
      </c>
      <c r="I43" t="s">
        <v>2499</v>
      </c>
      <c r="J43">
        <v>27</v>
      </c>
      <c r="K43" t="s">
        <v>2517</v>
      </c>
    </row>
    <row r="44" spans="1:11" x14ac:dyDescent="0.35">
      <c r="A44" t="s">
        <v>2556</v>
      </c>
      <c r="B44" t="s">
        <v>2508</v>
      </c>
      <c r="C44" t="s">
        <v>2497</v>
      </c>
      <c r="D44" t="s">
        <v>204</v>
      </c>
      <c r="E44" t="s">
        <v>1622</v>
      </c>
      <c r="F44" s="8">
        <v>46069</v>
      </c>
      <c r="G44" s="8">
        <v>46084</v>
      </c>
      <c r="H44" t="s">
        <v>2506</v>
      </c>
      <c r="I44" t="s">
        <v>2499</v>
      </c>
      <c r="J44">
        <v>86</v>
      </c>
      <c r="K44" t="s">
        <v>2520</v>
      </c>
    </row>
    <row r="45" spans="1:11" x14ac:dyDescent="0.35">
      <c r="A45" t="s">
        <v>2557</v>
      </c>
      <c r="B45" t="s">
        <v>2508</v>
      </c>
      <c r="C45" t="s">
        <v>2522</v>
      </c>
      <c r="D45" t="s">
        <v>233</v>
      </c>
      <c r="E45" t="s">
        <v>2090</v>
      </c>
      <c r="F45" s="8">
        <v>46042</v>
      </c>
      <c r="G45" s="8">
        <v>46051</v>
      </c>
      <c r="H45" t="s">
        <v>2506</v>
      </c>
      <c r="I45" t="s">
        <v>2499</v>
      </c>
      <c r="J45">
        <v>119</v>
      </c>
      <c r="K45" t="s">
        <v>2520</v>
      </c>
    </row>
    <row r="46" spans="1:11" x14ac:dyDescent="0.35">
      <c r="A46" t="s">
        <v>2558</v>
      </c>
      <c r="B46" t="s">
        <v>2511</v>
      </c>
      <c r="C46" t="s">
        <v>2497</v>
      </c>
      <c r="D46" t="s">
        <v>429</v>
      </c>
      <c r="E46" t="s">
        <v>1921</v>
      </c>
      <c r="F46" s="8">
        <v>46033</v>
      </c>
      <c r="G46" s="8">
        <v>46138</v>
      </c>
      <c r="H46" t="s">
        <v>2506</v>
      </c>
      <c r="I46" t="s">
        <v>2509</v>
      </c>
      <c r="J46">
        <v>0</v>
      </c>
    </row>
    <row r="47" spans="1:11" x14ac:dyDescent="0.35">
      <c r="A47" t="s">
        <v>2559</v>
      </c>
      <c r="B47" t="s">
        <v>2508</v>
      </c>
      <c r="C47" t="s">
        <v>2497</v>
      </c>
      <c r="D47" t="s">
        <v>445</v>
      </c>
      <c r="E47" t="s">
        <v>2016</v>
      </c>
      <c r="F47" s="8">
        <v>46023</v>
      </c>
      <c r="G47" s="8">
        <v>46135</v>
      </c>
      <c r="H47" t="s">
        <v>2506</v>
      </c>
      <c r="I47" t="s">
        <v>2499</v>
      </c>
      <c r="J47">
        <v>35</v>
      </c>
      <c r="K47" t="s">
        <v>2500</v>
      </c>
    </row>
    <row r="48" spans="1:11" x14ac:dyDescent="0.35">
      <c r="A48" t="s">
        <v>2560</v>
      </c>
      <c r="B48" t="s">
        <v>2508</v>
      </c>
      <c r="C48" t="s">
        <v>2491</v>
      </c>
      <c r="D48" t="s">
        <v>281</v>
      </c>
      <c r="E48" t="s">
        <v>682</v>
      </c>
      <c r="F48" s="8">
        <v>46031</v>
      </c>
      <c r="G48" s="8">
        <v>46046</v>
      </c>
      <c r="H48" t="s">
        <v>2498</v>
      </c>
      <c r="I48" t="s">
        <v>2513</v>
      </c>
      <c r="J48">
        <v>124</v>
      </c>
      <c r="K48" t="s">
        <v>2494</v>
      </c>
    </row>
    <row r="49" spans="1:11" x14ac:dyDescent="0.35">
      <c r="A49" t="s">
        <v>2561</v>
      </c>
      <c r="B49" t="s">
        <v>2502</v>
      </c>
      <c r="C49" t="s">
        <v>2491</v>
      </c>
      <c r="D49" t="s">
        <v>149</v>
      </c>
      <c r="E49" t="s">
        <v>1030</v>
      </c>
      <c r="F49" s="8">
        <v>46153</v>
      </c>
      <c r="G49" s="8">
        <v>46162</v>
      </c>
      <c r="H49" t="s">
        <v>2498</v>
      </c>
      <c r="I49" t="s">
        <v>2499</v>
      </c>
      <c r="J49">
        <v>8</v>
      </c>
      <c r="K49" t="s">
        <v>2500</v>
      </c>
    </row>
    <row r="50" spans="1:11" x14ac:dyDescent="0.35">
      <c r="A50" t="s">
        <v>2562</v>
      </c>
      <c r="B50" t="s">
        <v>2496</v>
      </c>
      <c r="C50" t="s">
        <v>2512</v>
      </c>
      <c r="D50" t="s">
        <v>221</v>
      </c>
      <c r="E50" t="s">
        <v>2400</v>
      </c>
      <c r="F50" s="8">
        <v>46118</v>
      </c>
      <c r="G50" s="8">
        <v>46143</v>
      </c>
      <c r="H50" t="s">
        <v>2492</v>
      </c>
      <c r="I50" t="s">
        <v>2499</v>
      </c>
      <c r="J50">
        <v>27</v>
      </c>
      <c r="K50" t="s">
        <v>2494</v>
      </c>
    </row>
    <row r="51" spans="1:11" x14ac:dyDescent="0.35">
      <c r="A51" t="s">
        <v>2563</v>
      </c>
      <c r="B51" t="s">
        <v>2490</v>
      </c>
      <c r="C51" t="s">
        <v>2503</v>
      </c>
      <c r="E51" t="s">
        <v>761</v>
      </c>
      <c r="F51" s="8">
        <v>46106</v>
      </c>
      <c r="G51" s="8">
        <v>46119</v>
      </c>
      <c r="H51" t="s">
        <v>2506</v>
      </c>
      <c r="I51" t="s">
        <v>2509</v>
      </c>
      <c r="J51">
        <v>0</v>
      </c>
    </row>
    <row r="52" spans="1:11" x14ac:dyDescent="0.35">
      <c r="A52" t="s">
        <v>2564</v>
      </c>
      <c r="B52" t="s">
        <v>2490</v>
      </c>
      <c r="C52" t="s">
        <v>2519</v>
      </c>
      <c r="E52" t="s">
        <v>1700</v>
      </c>
      <c r="F52" s="8">
        <v>46147</v>
      </c>
      <c r="G52" s="8">
        <v>46155</v>
      </c>
      <c r="H52" t="s">
        <v>2506</v>
      </c>
      <c r="I52" t="s">
        <v>2513</v>
      </c>
      <c r="J52">
        <v>15</v>
      </c>
      <c r="K52" t="s">
        <v>2520</v>
      </c>
    </row>
    <row r="53" spans="1:11" x14ac:dyDescent="0.35">
      <c r="A53" t="s">
        <v>2565</v>
      </c>
      <c r="B53" t="s">
        <v>2525</v>
      </c>
      <c r="C53" t="s">
        <v>2497</v>
      </c>
      <c r="E53" t="s">
        <v>663</v>
      </c>
      <c r="F53" s="8">
        <v>46024</v>
      </c>
      <c r="G53" s="8">
        <v>46047</v>
      </c>
      <c r="H53" t="s">
        <v>2492</v>
      </c>
      <c r="I53" t="s">
        <v>2499</v>
      </c>
      <c r="J53">
        <v>123</v>
      </c>
      <c r="K53" t="s">
        <v>2517</v>
      </c>
    </row>
    <row r="54" spans="1:11" x14ac:dyDescent="0.35">
      <c r="A54" t="s">
        <v>2566</v>
      </c>
      <c r="B54" t="s">
        <v>2511</v>
      </c>
      <c r="C54" t="s">
        <v>2512</v>
      </c>
      <c r="D54" t="s">
        <v>369</v>
      </c>
      <c r="E54" t="s">
        <v>703</v>
      </c>
      <c r="F54" s="8">
        <v>46110</v>
      </c>
      <c r="G54" s="8">
        <v>46133</v>
      </c>
      <c r="H54" t="s">
        <v>2506</v>
      </c>
      <c r="I54" t="s">
        <v>2499</v>
      </c>
      <c r="J54">
        <v>37</v>
      </c>
      <c r="K54" t="s">
        <v>2520</v>
      </c>
    </row>
    <row r="55" spans="1:11" x14ac:dyDescent="0.35">
      <c r="A55" t="s">
        <v>2567</v>
      </c>
      <c r="B55" t="s">
        <v>2502</v>
      </c>
      <c r="C55" t="s">
        <v>2512</v>
      </c>
      <c r="D55" t="s">
        <v>331</v>
      </c>
      <c r="E55" t="s">
        <v>2287</v>
      </c>
      <c r="F55" s="8">
        <v>46043</v>
      </c>
      <c r="G55" s="8">
        <v>46063</v>
      </c>
      <c r="H55" t="s">
        <v>2498</v>
      </c>
      <c r="I55" t="s">
        <v>2513</v>
      </c>
      <c r="J55">
        <v>107</v>
      </c>
      <c r="K55" t="s">
        <v>2494</v>
      </c>
    </row>
    <row r="56" spans="1:11" x14ac:dyDescent="0.35">
      <c r="A56" t="s">
        <v>2568</v>
      </c>
      <c r="B56" t="s">
        <v>2508</v>
      </c>
      <c r="C56" t="s">
        <v>2512</v>
      </c>
      <c r="D56" t="s">
        <v>35</v>
      </c>
      <c r="E56" t="s">
        <v>2224</v>
      </c>
      <c r="F56" s="8">
        <v>46076</v>
      </c>
      <c r="G56" s="8">
        <v>46162</v>
      </c>
      <c r="H56" t="s">
        <v>2492</v>
      </c>
      <c r="I56" t="s">
        <v>2513</v>
      </c>
      <c r="J56">
        <v>8</v>
      </c>
      <c r="K56" t="s">
        <v>2520</v>
      </c>
    </row>
    <row r="57" spans="1:11" x14ac:dyDescent="0.35">
      <c r="A57" t="s">
        <v>2569</v>
      </c>
      <c r="B57" t="s">
        <v>2525</v>
      </c>
      <c r="C57" t="s">
        <v>2522</v>
      </c>
      <c r="D57" t="s">
        <v>83</v>
      </c>
      <c r="E57" t="s">
        <v>2278</v>
      </c>
      <c r="F57" s="8">
        <v>46072</v>
      </c>
      <c r="G57" s="8">
        <v>46132</v>
      </c>
      <c r="H57" t="s">
        <v>2506</v>
      </c>
      <c r="I57" t="s">
        <v>2513</v>
      </c>
      <c r="J57">
        <v>38</v>
      </c>
      <c r="K57" t="s">
        <v>2494</v>
      </c>
    </row>
    <row r="58" spans="1:11" x14ac:dyDescent="0.35">
      <c r="A58" t="s">
        <v>2570</v>
      </c>
      <c r="B58" t="s">
        <v>2490</v>
      </c>
      <c r="C58" t="s">
        <v>2522</v>
      </c>
      <c r="D58" t="s">
        <v>456</v>
      </c>
      <c r="E58" t="s">
        <v>1792</v>
      </c>
      <c r="F58" s="8">
        <v>46104</v>
      </c>
      <c r="G58" s="8">
        <v>46137</v>
      </c>
      <c r="H58" t="s">
        <v>2498</v>
      </c>
      <c r="I58" t="s">
        <v>2509</v>
      </c>
      <c r="J58">
        <v>0</v>
      </c>
    </row>
    <row r="59" spans="1:11" x14ac:dyDescent="0.35">
      <c r="A59" t="s">
        <v>2571</v>
      </c>
      <c r="B59" t="s">
        <v>2496</v>
      </c>
      <c r="C59" t="s">
        <v>2503</v>
      </c>
      <c r="D59" t="s">
        <v>357</v>
      </c>
      <c r="E59" t="s">
        <v>1674</v>
      </c>
      <c r="F59" s="8">
        <v>46047</v>
      </c>
      <c r="G59" s="8">
        <v>46064</v>
      </c>
      <c r="H59" t="s">
        <v>2506</v>
      </c>
      <c r="I59" t="s">
        <v>2499</v>
      </c>
      <c r="J59">
        <v>106</v>
      </c>
      <c r="K59" t="s">
        <v>2500</v>
      </c>
    </row>
    <row r="60" spans="1:11" x14ac:dyDescent="0.35">
      <c r="A60" t="s">
        <v>2572</v>
      </c>
      <c r="B60" t="s">
        <v>2525</v>
      </c>
      <c r="C60" t="s">
        <v>2491</v>
      </c>
      <c r="D60" t="s">
        <v>460</v>
      </c>
      <c r="E60" t="s">
        <v>663</v>
      </c>
      <c r="F60" s="8">
        <v>46159</v>
      </c>
      <c r="G60" s="8">
        <v>46139</v>
      </c>
      <c r="H60" t="s">
        <v>2506</v>
      </c>
      <c r="I60" t="s">
        <v>2499</v>
      </c>
      <c r="J60">
        <v>31</v>
      </c>
      <c r="K60" t="s">
        <v>2504</v>
      </c>
    </row>
    <row r="61" spans="1:11" x14ac:dyDescent="0.35">
      <c r="A61" t="s">
        <v>2573</v>
      </c>
      <c r="B61" t="s">
        <v>2508</v>
      </c>
      <c r="C61" t="s">
        <v>2512</v>
      </c>
      <c r="E61" t="s">
        <v>903</v>
      </c>
      <c r="F61" s="8">
        <v>46050</v>
      </c>
      <c r="G61" s="8">
        <v>46151</v>
      </c>
      <c r="H61" t="s">
        <v>2498</v>
      </c>
      <c r="I61" t="s">
        <v>2509</v>
      </c>
      <c r="J61">
        <v>0</v>
      </c>
    </row>
    <row r="62" spans="1:11" x14ac:dyDescent="0.35">
      <c r="A62" t="s">
        <v>2574</v>
      </c>
      <c r="B62" t="s">
        <v>2502</v>
      </c>
      <c r="C62" t="s">
        <v>2512</v>
      </c>
      <c r="D62" t="s">
        <v>416</v>
      </c>
      <c r="E62" t="s">
        <v>2284</v>
      </c>
      <c r="F62" s="8">
        <v>46080</v>
      </c>
      <c r="G62" s="8">
        <v>46167</v>
      </c>
      <c r="H62" t="s">
        <v>2498</v>
      </c>
      <c r="I62" t="s">
        <v>2513</v>
      </c>
      <c r="J62">
        <v>3</v>
      </c>
      <c r="K62" t="s">
        <v>2504</v>
      </c>
    </row>
    <row r="63" spans="1:11" x14ac:dyDescent="0.35">
      <c r="A63" t="s">
        <v>2575</v>
      </c>
      <c r="B63" t="s">
        <v>2490</v>
      </c>
      <c r="C63" t="s">
        <v>2512</v>
      </c>
      <c r="D63" t="s">
        <v>287</v>
      </c>
      <c r="E63" t="s">
        <v>723</v>
      </c>
      <c r="F63" s="8">
        <v>46092</v>
      </c>
      <c r="G63" s="8">
        <v>46137</v>
      </c>
      <c r="H63" t="s">
        <v>2492</v>
      </c>
      <c r="I63" t="s">
        <v>2513</v>
      </c>
      <c r="J63">
        <v>33</v>
      </c>
      <c r="K63" t="s">
        <v>2494</v>
      </c>
    </row>
    <row r="64" spans="1:11" x14ac:dyDescent="0.35">
      <c r="A64" t="s">
        <v>2576</v>
      </c>
      <c r="B64" t="s">
        <v>2508</v>
      </c>
      <c r="C64" t="s">
        <v>2522</v>
      </c>
      <c r="E64" t="s">
        <v>1691</v>
      </c>
      <c r="F64" s="8">
        <v>46107</v>
      </c>
      <c r="G64" s="8">
        <v>46140</v>
      </c>
      <c r="H64" t="s">
        <v>2506</v>
      </c>
      <c r="I64" t="s">
        <v>2513</v>
      </c>
      <c r="J64">
        <v>30</v>
      </c>
      <c r="K64" t="s">
        <v>2517</v>
      </c>
    </row>
    <row r="65" spans="1:11" x14ac:dyDescent="0.35">
      <c r="A65" t="s">
        <v>2577</v>
      </c>
      <c r="B65" t="s">
        <v>2511</v>
      </c>
      <c r="C65" t="s">
        <v>2491</v>
      </c>
      <c r="D65" t="s">
        <v>196</v>
      </c>
      <c r="E65" t="s">
        <v>879</v>
      </c>
      <c r="F65" s="8">
        <v>46066</v>
      </c>
      <c r="G65" s="8">
        <v>46077</v>
      </c>
      <c r="H65" t="s">
        <v>2506</v>
      </c>
      <c r="I65" t="s">
        <v>2513</v>
      </c>
      <c r="J65">
        <v>93</v>
      </c>
      <c r="K65" t="s">
        <v>2494</v>
      </c>
    </row>
    <row r="66" spans="1:11" x14ac:dyDescent="0.35">
      <c r="A66" t="s">
        <v>2578</v>
      </c>
      <c r="B66" t="s">
        <v>2502</v>
      </c>
      <c r="C66" t="s">
        <v>2519</v>
      </c>
      <c r="D66" t="s">
        <v>94</v>
      </c>
      <c r="E66" t="s">
        <v>793</v>
      </c>
      <c r="F66" s="8">
        <v>46058</v>
      </c>
      <c r="G66" s="8">
        <v>46082</v>
      </c>
      <c r="H66" t="s">
        <v>2506</v>
      </c>
      <c r="I66" t="s">
        <v>2499</v>
      </c>
      <c r="J66">
        <v>88</v>
      </c>
      <c r="K66" t="s">
        <v>2504</v>
      </c>
    </row>
    <row r="67" spans="1:11" x14ac:dyDescent="0.35">
      <c r="A67" t="s">
        <v>2579</v>
      </c>
      <c r="B67" t="s">
        <v>2508</v>
      </c>
      <c r="C67" t="s">
        <v>2522</v>
      </c>
      <c r="D67" t="s">
        <v>275</v>
      </c>
      <c r="E67" t="s">
        <v>943</v>
      </c>
      <c r="F67" s="8">
        <v>46122</v>
      </c>
      <c r="G67" s="8">
        <v>46142</v>
      </c>
      <c r="H67" t="s">
        <v>2498</v>
      </c>
      <c r="I67" t="s">
        <v>2513</v>
      </c>
      <c r="J67">
        <v>28</v>
      </c>
      <c r="K67" t="s">
        <v>2494</v>
      </c>
    </row>
    <row r="68" spans="1:11" x14ac:dyDescent="0.35">
      <c r="A68" t="s">
        <v>2580</v>
      </c>
      <c r="B68" t="s">
        <v>2525</v>
      </c>
      <c r="C68" t="s">
        <v>2491</v>
      </c>
      <c r="D68" t="s">
        <v>372</v>
      </c>
      <c r="E68" t="s">
        <v>1980</v>
      </c>
      <c r="F68" s="8">
        <v>46152</v>
      </c>
      <c r="G68" s="8">
        <v>46168</v>
      </c>
      <c r="H68" t="s">
        <v>2492</v>
      </c>
      <c r="I68" t="s">
        <v>2499</v>
      </c>
      <c r="J68">
        <v>2</v>
      </c>
      <c r="K68" t="s">
        <v>2500</v>
      </c>
    </row>
    <row r="69" spans="1:11" x14ac:dyDescent="0.35">
      <c r="A69" t="s">
        <v>2581</v>
      </c>
      <c r="B69" t="s">
        <v>2502</v>
      </c>
      <c r="C69" t="s">
        <v>2503</v>
      </c>
      <c r="D69" t="s">
        <v>155</v>
      </c>
      <c r="E69" t="s">
        <v>1508</v>
      </c>
      <c r="F69" s="8">
        <v>46136</v>
      </c>
      <c r="G69" s="8">
        <v>46154</v>
      </c>
      <c r="H69" t="s">
        <v>2506</v>
      </c>
      <c r="I69" t="s">
        <v>2493</v>
      </c>
      <c r="J69">
        <v>16</v>
      </c>
      <c r="K69" t="s">
        <v>2500</v>
      </c>
    </row>
    <row r="70" spans="1:11" x14ac:dyDescent="0.35">
      <c r="A70" t="s">
        <v>2582</v>
      </c>
      <c r="B70" t="s">
        <v>2508</v>
      </c>
      <c r="C70" t="s">
        <v>2519</v>
      </c>
      <c r="E70" t="s">
        <v>2099</v>
      </c>
      <c r="F70" s="8">
        <v>46135</v>
      </c>
      <c r="G70" s="8">
        <v>46145</v>
      </c>
      <c r="H70" t="s">
        <v>2506</v>
      </c>
      <c r="I70" t="s">
        <v>2499</v>
      </c>
      <c r="J70">
        <v>25</v>
      </c>
      <c r="K70" t="s">
        <v>2504</v>
      </c>
    </row>
    <row r="71" spans="1:11" x14ac:dyDescent="0.35">
      <c r="A71" t="s">
        <v>2583</v>
      </c>
      <c r="B71" t="s">
        <v>2511</v>
      </c>
      <c r="C71" t="s">
        <v>2522</v>
      </c>
      <c r="D71" t="s">
        <v>354</v>
      </c>
      <c r="E71" t="s">
        <v>625</v>
      </c>
      <c r="F71" s="8">
        <v>46064</v>
      </c>
      <c r="G71" s="8">
        <v>46136</v>
      </c>
      <c r="H71" t="s">
        <v>2492</v>
      </c>
      <c r="I71" t="s">
        <v>2513</v>
      </c>
      <c r="J71">
        <v>34</v>
      </c>
      <c r="K71" t="s">
        <v>2494</v>
      </c>
    </row>
    <row r="72" spans="1:11" x14ac:dyDescent="0.35">
      <c r="A72" t="s">
        <v>2584</v>
      </c>
      <c r="B72" t="s">
        <v>2511</v>
      </c>
      <c r="C72" t="s">
        <v>2497</v>
      </c>
      <c r="D72" t="s">
        <v>149</v>
      </c>
      <c r="E72" t="s">
        <v>692</v>
      </c>
      <c r="F72" s="8">
        <v>46091</v>
      </c>
      <c r="G72" s="8">
        <v>46099</v>
      </c>
      <c r="H72" t="s">
        <v>2492</v>
      </c>
      <c r="I72" t="s">
        <v>2499</v>
      </c>
      <c r="J72">
        <v>71</v>
      </c>
      <c r="K72" t="s">
        <v>2515</v>
      </c>
    </row>
    <row r="73" spans="1:11" x14ac:dyDescent="0.35">
      <c r="A73" t="s">
        <v>2585</v>
      </c>
      <c r="B73" t="s">
        <v>2511</v>
      </c>
      <c r="C73" t="s">
        <v>2519</v>
      </c>
      <c r="D73" t="s">
        <v>363</v>
      </c>
      <c r="E73" t="s">
        <v>2285</v>
      </c>
      <c r="F73" s="8">
        <v>46098</v>
      </c>
      <c r="G73" s="8">
        <v>46106</v>
      </c>
      <c r="H73" t="s">
        <v>2506</v>
      </c>
      <c r="I73" t="s">
        <v>2513</v>
      </c>
      <c r="J73">
        <v>64</v>
      </c>
      <c r="K73" t="s">
        <v>2515</v>
      </c>
    </row>
    <row r="74" spans="1:11" x14ac:dyDescent="0.35">
      <c r="A74" t="s">
        <v>2586</v>
      </c>
      <c r="B74" t="s">
        <v>2502</v>
      </c>
      <c r="C74" t="s">
        <v>2512</v>
      </c>
      <c r="D74" t="s">
        <v>475</v>
      </c>
      <c r="E74" t="s">
        <v>1830</v>
      </c>
      <c r="F74" s="8">
        <v>46055</v>
      </c>
      <c r="G74" s="8">
        <v>46157</v>
      </c>
      <c r="H74" t="s">
        <v>2498</v>
      </c>
      <c r="I74" t="s">
        <v>2493</v>
      </c>
      <c r="J74">
        <v>13</v>
      </c>
      <c r="K74" t="s">
        <v>2520</v>
      </c>
    </row>
    <row r="75" spans="1:11" x14ac:dyDescent="0.35">
      <c r="A75" t="s">
        <v>2587</v>
      </c>
      <c r="B75" t="s">
        <v>2511</v>
      </c>
      <c r="C75" t="s">
        <v>2491</v>
      </c>
      <c r="D75" t="s">
        <v>410</v>
      </c>
      <c r="E75" t="s">
        <v>1011</v>
      </c>
      <c r="F75" s="8">
        <v>46152</v>
      </c>
      <c r="G75" s="8">
        <v>46135</v>
      </c>
      <c r="H75" t="s">
        <v>2506</v>
      </c>
      <c r="I75" t="s">
        <v>2499</v>
      </c>
      <c r="J75">
        <v>35</v>
      </c>
      <c r="K75" t="s">
        <v>2494</v>
      </c>
    </row>
    <row r="76" spans="1:11" x14ac:dyDescent="0.35">
      <c r="A76" t="s">
        <v>2588</v>
      </c>
      <c r="B76" t="s">
        <v>2490</v>
      </c>
      <c r="C76" t="s">
        <v>2491</v>
      </c>
      <c r="D76" t="s">
        <v>496</v>
      </c>
      <c r="E76" t="s">
        <v>1901</v>
      </c>
      <c r="F76" s="8">
        <v>46061</v>
      </c>
      <c r="G76" s="8">
        <v>46153</v>
      </c>
      <c r="H76" t="s">
        <v>2492</v>
      </c>
      <c r="I76" t="s">
        <v>2513</v>
      </c>
      <c r="J76">
        <v>17</v>
      </c>
      <c r="K76" t="s">
        <v>2517</v>
      </c>
    </row>
    <row r="77" spans="1:11" x14ac:dyDescent="0.35">
      <c r="A77" t="s">
        <v>2589</v>
      </c>
      <c r="B77" t="s">
        <v>2508</v>
      </c>
      <c r="C77" t="s">
        <v>2497</v>
      </c>
      <c r="D77" t="s">
        <v>316</v>
      </c>
      <c r="E77" t="s">
        <v>1412</v>
      </c>
      <c r="F77" s="8">
        <v>46088</v>
      </c>
      <c r="G77" s="8">
        <v>46154</v>
      </c>
      <c r="H77" t="s">
        <v>2498</v>
      </c>
      <c r="I77" t="s">
        <v>2493</v>
      </c>
      <c r="J77">
        <v>16</v>
      </c>
      <c r="K77" t="s">
        <v>2520</v>
      </c>
    </row>
    <row r="78" spans="1:11" x14ac:dyDescent="0.35">
      <c r="A78" t="s">
        <v>2590</v>
      </c>
      <c r="B78" t="s">
        <v>2511</v>
      </c>
      <c r="C78" t="s">
        <v>2512</v>
      </c>
      <c r="D78" t="s">
        <v>296</v>
      </c>
      <c r="E78" t="s">
        <v>1352</v>
      </c>
      <c r="F78" s="8">
        <v>46029</v>
      </c>
      <c r="G78" s="8">
        <v>46141</v>
      </c>
      <c r="H78" t="s">
        <v>2506</v>
      </c>
      <c r="I78" t="s">
        <v>2513</v>
      </c>
      <c r="J78">
        <v>29</v>
      </c>
      <c r="K78" t="s">
        <v>2517</v>
      </c>
    </row>
    <row r="79" spans="1:11" x14ac:dyDescent="0.35">
      <c r="A79" t="s">
        <v>2591</v>
      </c>
      <c r="B79" t="s">
        <v>2525</v>
      </c>
      <c r="C79" t="s">
        <v>2497</v>
      </c>
      <c r="D79" t="s">
        <v>483</v>
      </c>
      <c r="E79" t="s">
        <v>742</v>
      </c>
      <c r="F79" s="8">
        <v>46149</v>
      </c>
      <c r="G79" s="8">
        <v>46180</v>
      </c>
      <c r="H79" t="s">
        <v>2498</v>
      </c>
      <c r="I79" t="s">
        <v>2513</v>
      </c>
      <c r="J79">
        <v>0</v>
      </c>
      <c r="K79" t="s">
        <v>2494</v>
      </c>
    </row>
    <row r="80" spans="1:11" x14ac:dyDescent="0.35">
      <c r="A80" t="s">
        <v>2592</v>
      </c>
      <c r="B80" t="s">
        <v>2508</v>
      </c>
      <c r="C80" t="s">
        <v>2497</v>
      </c>
      <c r="E80" t="s">
        <v>921</v>
      </c>
      <c r="F80" s="8">
        <v>46123</v>
      </c>
      <c r="G80" s="8">
        <v>46133</v>
      </c>
      <c r="H80" t="s">
        <v>2498</v>
      </c>
      <c r="I80" t="s">
        <v>2493</v>
      </c>
      <c r="J80">
        <v>37</v>
      </c>
      <c r="K80" t="s">
        <v>2515</v>
      </c>
    </row>
    <row r="81" spans="1:11" x14ac:dyDescent="0.35">
      <c r="A81" t="s">
        <v>2593</v>
      </c>
      <c r="B81" t="s">
        <v>2490</v>
      </c>
      <c r="C81" t="s">
        <v>2522</v>
      </c>
      <c r="D81" t="s">
        <v>304</v>
      </c>
      <c r="E81" t="s">
        <v>1745</v>
      </c>
      <c r="F81" s="8">
        <v>46045</v>
      </c>
      <c r="G81" s="8">
        <v>46142</v>
      </c>
      <c r="H81" t="s">
        <v>2506</v>
      </c>
      <c r="I81" t="s">
        <v>2509</v>
      </c>
      <c r="J81">
        <v>0</v>
      </c>
    </row>
    <row r="82" spans="1:11" x14ac:dyDescent="0.35">
      <c r="A82" t="s">
        <v>2594</v>
      </c>
      <c r="B82" t="s">
        <v>2490</v>
      </c>
      <c r="C82" t="s">
        <v>2522</v>
      </c>
      <c r="D82" t="s">
        <v>416</v>
      </c>
      <c r="E82" t="s">
        <v>1342</v>
      </c>
      <c r="F82" s="8">
        <v>46033</v>
      </c>
      <c r="G82" s="8">
        <v>46134</v>
      </c>
      <c r="H82" t="s">
        <v>2492</v>
      </c>
      <c r="I82" t="s">
        <v>2499</v>
      </c>
      <c r="J82">
        <v>36</v>
      </c>
      <c r="K82" t="s">
        <v>2504</v>
      </c>
    </row>
    <row r="83" spans="1:11" x14ac:dyDescent="0.35">
      <c r="A83" t="s">
        <v>2595</v>
      </c>
      <c r="B83" t="s">
        <v>2508</v>
      </c>
      <c r="C83" t="s">
        <v>2512</v>
      </c>
      <c r="E83" t="s">
        <v>665</v>
      </c>
      <c r="F83" s="8">
        <v>46162</v>
      </c>
      <c r="G83" s="8">
        <v>46197</v>
      </c>
      <c r="H83" t="s">
        <v>2498</v>
      </c>
      <c r="I83" t="s">
        <v>2513</v>
      </c>
      <c r="J83">
        <v>0</v>
      </c>
      <c r="K83" t="s">
        <v>2494</v>
      </c>
    </row>
    <row r="84" spans="1:11" x14ac:dyDescent="0.35">
      <c r="A84" t="s">
        <v>2596</v>
      </c>
      <c r="B84" t="s">
        <v>2490</v>
      </c>
      <c r="C84" t="s">
        <v>2497</v>
      </c>
      <c r="D84" t="s">
        <v>351</v>
      </c>
      <c r="E84" t="s">
        <v>1226</v>
      </c>
      <c r="F84" s="8">
        <v>46072</v>
      </c>
      <c r="G84" s="8">
        <v>46140</v>
      </c>
      <c r="H84" t="s">
        <v>2506</v>
      </c>
      <c r="I84" t="s">
        <v>2513</v>
      </c>
      <c r="J84">
        <v>30</v>
      </c>
      <c r="K84" t="s">
        <v>2520</v>
      </c>
    </row>
    <row r="85" spans="1:11" x14ac:dyDescent="0.35">
      <c r="A85" t="s">
        <v>2597</v>
      </c>
      <c r="B85" t="s">
        <v>2490</v>
      </c>
      <c r="C85" t="s">
        <v>2491</v>
      </c>
      <c r="D85" t="s">
        <v>372</v>
      </c>
      <c r="E85" t="s">
        <v>1160</v>
      </c>
      <c r="F85" s="8">
        <v>46051</v>
      </c>
      <c r="G85" s="8">
        <v>46144</v>
      </c>
      <c r="H85" t="s">
        <v>2506</v>
      </c>
      <c r="I85" t="s">
        <v>2499</v>
      </c>
      <c r="J85">
        <v>26</v>
      </c>
      <c r="K85" t="s">
        <v>2515</v>
      </c>
    </row>
    <row r="86" spans="1:11" x14ac:dyDescent="0.35">
      <c r="A86" t="s">
        <v>2598</v>
      </c>
      <c r="B86" t="s">
        <v>2502</v>
      </c>
      <c r="C86" t="s">
        <v>2519</v>
      </c>
      <c r="D86" t="s">
        <v>360</v>
      </c>
      <c r="E86" t="s">
        <v>1032</v>
      </c>
      <c r="F86" s="8">
        <v>46145</v>
      </c>
      <c r="G86" s="8">
        <v>46164</v>
      </c>
      <c r="H86" t="s">
        <v>2506</v>
      </c>
      <c r="I86" t="s">
        <v>2499</v>
      </c>
      <c r="J86">
        <v>6</v>
      </c>
      <c r="K86" t="s">
        <v>2500</v>
      </c>
    </row>
    <row r="87" spans="1:11" x14ac:dyDescent="0.35">
      <c r="A87" t="s">
        <v>2599</v>
      </c>
      <c r="B87" t="s">
        <v>2496</v>
      </c>
      <c r="C87" t="s">
        <v>2512</v>
      </c>
      <c r="D87" t="s">
        <v>475</v>
      </c>
      <c r="E87" t="s">
        <v>2116</v>
      </c>
      <c r="F87" s="8">
        <v>46132</v>
      </c>
      <c r="G87" s="8">
        <v>46144</v>
      </c>
      <c r="H87" t="s">
        <v>2506</v>
      </c>
      <c r="I87" t="s">
        <v>2499</v>
      </c>
      <c r="J87">
        <v>26</v>
      </c>
      <c r="K87" t="s">
        <v>2504</v>
      </c>
    </row>
    <row r="88" spans="1:11" x14ac:dyDescent="0.35">
      <c r="A88" t="s">
        <v>2600</v>
      </c>
      <c r="B88" t="s">
        <v>2490</v>
      </c>
      <c r="C88" t="s">
        <v>2503</v>
      </c>
      <c r="E88" t="s">
        <v>2316</v>
      </c>
      <c r="F88" s="8">
        <v>46145</v>
      </c>
      <c r="G88" s="8">
        <v>46180</v>
      </c>
      <c r="H88" t="s">
        <v>2506</v>
      </c>
      <c r="I88" t="s">
        <v>2509</v>
      </c>
      <c r="J88">
        <v>0</v>
      </c>
    </row>
    <row r="89" spans="1:11" x14ac:dyDescent="0.35">
      <c r="A89" t="s">
        <v>2601</v>
      </c>
      <c r="B89" t="s">
        <v>2502</v>
      </c>
      <c r="C89" t="s">
        <v>2491</v>
      </c>
      <c r="D89" t="s">
        <v>369</v>
      </c>
      <c r="E89" t="s">
        <v>619</v>
      </c>
      <c r="F89" s="8">
        <v>46034</v>
      </c>
      <c r="G89" s="8">
        <v>46043</v>
      </c>
      <c r="H89" t="s">
        <v>2506</v>
      </c>
      <c r="I89" t="s">
        <v>2509</v>
      </c>
      <c r="J89">
        <v>0</v>
      </c>
    </row>
    <row r="90" spans="1:11" x14ac:dyDescent="0.35">
      <c r="A90" t="s">
        <v>2602</v>
      </c>
      <c r="B90" t="s">
        <v>2502</v>
      </c>
      <c r="C90" t="s">
        <v>2503</v>
      </c>
      <c r="D90" t="s">
        <v>120</v>
      </c>
      <c r="E90" t="s">
        <v>2337</v>
      </c>
      <c r="F90" s="8">
        <v>46130</v>
      </c>
      <c r="G90" s="8">
        <v>46146</v>
      </c>
      <c r="H90" t="s">
        <v>2506</v>
      </c>
      <c r="I90" t="s">
        <v>2499</v>
      </c>
      <c r="J90">
        <v>24</v>
      </c>
      <c r="K90" t="s">
        <v>2500</v>
      </c>
    </row>
    <row r="91" spans="1:11" x14ac:dyDescent="0.35">
      <c r="A91" t="s">
        <v>2603</v>
      </c>
      <c r="B91" t="s">
        <v>2508</v>
      </c>
      <c r="C91" t="s">
        <v>2519</v>
      </c>
      <c r="D91" t="s">
        <v>316</v>
      </c>
      <c r="E91" t="s">
        <v>1142</v>
      </c>
      <c r="F91" s="8">
        <v>46105</v>
      </c>
      <c r="G91" s="8">
        <v>46144</v>
      </c>
      <c r="H91" t="s">
        <v>2506</v>
      </c>
      <c r="I91" t="s">
        <v>2513</v>
      </c>
      <c r="J91">
        <v>26</v>
      </c>
      <c r="K91" t="s">
        <v>2515</v>
      </c>
    </row>
    <row r="92" spans="1:11" x14ac:dyDescent="0.35">
      <c r="A92" t="s">
        <v>2604</v>
      </c>
      <c r="B92" t="s">
        <v>2502</v>
      </c>
      <c r="C92" t="s">
        <v>2491</v>
      </c>
      <c r="D92" t="s">
        <v>106</v>
      </c>
      <c r="E92" t="s">
        <v>1889</v>
      </c>
      <c r="F92" s="8">
        <v>46107</v>
      </c>
      <c r="G92" s="8">
        <v>46136</v>
      </c>
      <c r="H92" t="s">
        <v>2506</v>
      </c>
      <c r="I92" t="s">
        <v>2513</v>
      </c>
      <c r="J92">
        <v>34</v>
      </c>
      <c r="K92" t="s">
        <v>2504</v>
      </c>
    </row>
    <row r="93" spans="1:11" x14ac:dyDescent="0.35">
      <c r="A93" t="s">
        <v>2605</v>
      </c>
      <c r="B93" t="s">
        <v>2496</v>
      </c>
      <c r="C93" t="s">
        <v>2519</v>
      </c>
      <c r="D93" t="s">
        <v>424</v>
      </c>
      <c r="E93" t="s">
        <v>1780</v>
      </c>
      <c r="F93" s="8">
        <v>46035</v>
      </c>
      <c r="G93" s="8">
        <v>46166</v>
      </c>
      <c r="H93" t="s">
        <v>2492</v>
      </c>
      <c r="I93" t="s">
        <v>2509</v>
      </c>
      <c r="J93">
        <v>0</v>
      </c>
    </row>
    <row r="94" spans="1:11" x14ac:dyDescent="0.35">
      <c r="A94" t="s">
        <v>2606</v>
      </c>
      <c r="B94" t="s">
        <v>2502</v>
      </c>
      <c r="C94" t="s">
        <v>2522</v>
      </c>
      <c r="E94" t="s">
        <v>1886</v>
      </c>
      <c r="F94" s="8">
        <v>46123</v>
      </c>
      <c r="G94" s="8">
        <v>46137</v>
      </c>
      <c r="H94" t="s">
        <v>2506</v>
      </c>
      <c r="I94" t="s">
        <v>2493</v>
      </c>
      <c r="J94">
        <v>33</v>
      </c>
      <c r="K94" t="s">
        <v>2520</v>
      </c>
    </row>
    <row r="95" spans="1:11" x14ac:dyDescent="0.35">
      <c r="A95" t="s">
        <v>2607</v>
      </c>
      <c r="B95" t="s">
        <v>2511</v>
      </c>
      <c r="C95" t="s">
        <v>2522</v>
      </c>
      <c r="D95" t="s">
        <v>319</v>
      </c>
      <c r="E95" t="s">
        <v>1828</v>
      </c>
      <c r="F95" s="8">
        <v>46121</v>
      </c>
      <c r="G95" s="8">
        <v>46154</v>
      </c>
      <c r="H95" t="s">
        <v>2506</v>
      </c>
      <c r="I95" t="s">
        <v>2513</v>
      </c>
      <c r="J95">
        <v>16</v>
      </c>
      <c r="K95" t="s">
        <v>2504</v>
      </c>
    </row>
    <row r="96" spans="1:11" x14ac:dyDescent="0.35">
      <c r="A96" t="s">
        <v>2608</v>
      </c>
      <c r="B96" t="s">
        <v>2508</v>
      </c>
      <c r="C96" t="s">
        <v>2522</v>
      </c>
      <c r="E96" t="s">
        <v>625</v>
      </c>
      <c r="F96" s="8">
        <v>46127</v>
      </c>
      <c r="G96" s="8">
        <v>46160</v>
      </c>
      <c r="H96" t="s">
        <v>2498</v>
      </c>
      <c r="I96" t="s">
        <v>2509</v>
      </c>
      <c r="J96">
        <v>0</v>
      </c>
    </row>
    <row r="97" spans="1:11" x14ac:dyDescent="0.35">
      <c r="A97" t="s">
        <v>2609</v>
      </c>
      <c r="B97" t="s">
        <v>2511</v>
      </c>
      <c r="C97" t="s">
        <v>2491</v>
      </c>
      <c r="D97" t="s">
        <v>201</v>
      </c>
      <c r="E97" t="s">
        <v>611</v>
      </c>
      <c r="F97" s="8">
        <v>46023</v>
      </c>
      <c r="G97" s="8">
        <v>46056</v>
      </c>
      <c r="H97" t="s">
        <v>2506</v>
      </c>
      <c r="I97" t="s">
        <v>2513</v>
      </c>
      <c r="J97">
        <v>114</v>
      </c>
      <c r="K97" t="s">
        <v>2520</v>
      </c>
    </row>
    <row r="98" spans="1:11" x14ac:dyDescent="0.35">
      <c r="A98" t="s">
        <v>2610</v>
      </c>
      <c r="B98" t="s">
        <v>2511</v>
      </c>
      <c r="C98" t="s">
        <v>2512</v>
      </c>
      <c r="E98" t="s">
        <v>2069</v>
      </c>
      <c r="F98" s="8">
        <v>46085</v>
      </c>
      <c r="G98" s="8">
        <v>46111</v>
      </c>
      <c r="H98" t="s">
        <v>2506</v>
      </c>
      <c r="I98" t="s">
        <v>2513</v>
      </c>
      <c r="J98">
        <v>59</v>
      </c>
      <c r="K98" t="s">
        <v>2517</v>
      </c>
    </row>
    <row r="99" spans="1:11" x14ac:dyDescent="0.35">
      <c r="A99" t="s">
        <v>2611</v>
      </c>
      <c r="B99" t="s">
        <v>2511</v>
      </c>
      <c r="C99" t="s">
        <v>2522</v>
      </c>
      <c r="E99" t="s">
        <v>1719</v>
      </c>
      <c r="F99" s="8">
        <v>46083</v>
      </c>
      <c r="G99" s="8">
        <v>46115</v>
      </c>
      <c r="H99" t="s">
        <v>2506</v>
      </c>
      <c r="I99" t="s">
        <v>2499</v>
      </c>
      <c r="J99">
        <v>55</v>
      </c>
      <c r="K99" t="s">
        <v>2504</v>
      </c>
    </row>
    <row r="100" spans="1:11" x14ac:dyDescent="0.35">
      <c r="A100" t="s">
        <v>2612</v>
      </c>
      <c r="B100" t="s">
        <v>2508</v>
      </c>
      <c r="C100" t="s">
        <v>2503</v>
      </c>
      <c r="E100" t="s">
        <v>2014</v>
      </c>
      <c r="F100" s="8">
        <v>46079</v>
      </c>
      <c r="G100" s="8">
        <v>46114</v>
      </c>
      <c r="H100" t="s">
        <v>2506</v>
      </c>
      <c r="I100" t="s">
        <v>2499</v>
      </c>
      <c r="J100">
        <v>56</v>
      </c>
      <c r="K100" t="s">
        <v>2494</v>
      </c>
    </row>
    <row r="101" spans="1:11" x14ac:dyDescent="0.35">
      <c r="A101" t="s">
        <v>2613</v>
      </c>
      <c r="B101" t="s">
        <v>2502</v>
      </c>
      <c r="C101" t="s">
        <v>2512</v>
      </c>
      <c r="D101" t="s">
        <v>120</v>
      </c>
      <c r="E101" t="s">
        <v>1908</v>
      </c>
      <c r="F101" s="8">
        <v>46081</v>
      </c>
      <c r="G101" s="8">
        <v>46154</v>
      </c>
      <c r="H101" t="s">
        <v>2498</v>
      </c>
      <c r="I101" t="s">
        <v>2499</v>
      </c>
      <c r="J101">
        <v>16</v>
      </c>
      <c r="K101" t="s">
        <v>2515</v>
      </c>
    </row>
    <row r="102" spans="1:11" x14ac:dyDescent="0.35">
      <c r="A102" t="s">
        <v>2614</v>
      </c>
      <c r="B102" t="s">
        <v>2525</v>
      </c>
      <c r="C102" t="s">
        <v>2522</v>
      </c>
      <c r="D102" t="s">
        <v>556</v>
      </c>
      <c r="E102" t="s">
        <v>1086</v>
      </c>
      <c r="F102" s="8">
        <v>46133</v>
      </c>
      <c r="G102" s="8">
        <v>46147</v>
      </c>
      <c r="H102" t="s">
        <v>2498</v>
      </c>
      <c r="I102" t="s">
        <v>2493</v>
      </c>
      <c r="J102">
        <v>23</v>
      </c>
      <c r="K102" t="s">
        <v>2520</v>
      </c>
    </row>
    <row r="103" spans="1:11" x14ac:dyDescent="0.35">
      <c r="A103" t="s">
        <v>2615</v>
      </c>
      <c r="B103" t="s">
        <v>2525</v>
      </c>
      <c r="C103" t="s">
        <v>2503</v>
      </c>
      <c r="D103" t="s">
        <v>383</v>
      </c>
      <c r="E103" t="s">
        <v>1304</v>
      </c>
      <c r="F103" s="8">
        <v>46054</v>
      </c>
      <c r="G103" s="8">
        <v>46068</v>
      </c>
      <c r="H103" t="s">
        <v>2506</v>
      </c>
      <c r="I103" t="s">
        <v>2499</v>
      </c>
      <c r="J103">
        <v>102</v>
      </c>
      <c r="K103" t="s">
        <v>2500</v>
      </c>
    </row>
    <row r="104" spans="1:11" x14ac:dyDescent="0.35">
      <c r="A104" t="s">
        <v>2616</v>
      </c>
      <c r="B104" t="s">
        <v>2496</v>
      </c>
      <c r="C104" t="s">
        <v>2497</v>
      </c>
      <c r="D104" t="s">
        <v>490</v>
      </c>
      <c r="E104" t="s">
        <v>1680</v>
      </c>
      <c r="F104" s="8">
        <v>46105</v>
      </c>
      <c r="G104" s="8">
        <v>46116</v>
      </c>
      <c r="H104" t="s">
        <v>2506</v>
      </c>
      <c r="I104" t="s">
        <v>2513</v>
      </c>
      <c r="J104">
        <v>54</v>
      </c>
      <c r="K104" t="s">
        <v>2504</v>
      </c>
    </row>
    <row r="105" spans="1:11" x14ac:dyDescent="0.35">
      <c r="A105" t="s">
        <v>2617</v>
      </c>
      <c r="B105" t="s">
        <v>2511</v>
      </c>
      <c r="C105" t="s">
        <v>2503</v>
      </c>
      <c r="E105" t="s">
        <v>2030</v>
      </c>
      <c r="F105" s="8">
        <v>46068</v>
      </c>
      <c r="G105" s="8">
        <v>46169</v>
      </c>
      <c r="H105" t="s">
        <v>2506</v>
      </c>
      <c r="I105" t="s">
        <v>2513</v>
      </c>
      <c r="J105">
        <v>1</v>
      </c>
      <c r="K105" t="s">
        <v>2500</v>
      </c>
    </row>
    <row r="106" spans="1:11" x14ac:dyDescent="0.35">
      <c r="A106" t="s">
        <v>2618</v>
      </c>
      <c r="B106" t="s">
        <v>2490</v>
      </c>
      <c r="C106" t="s">
        <v>2512</v>
      </c>
      <c r="D106" t="s">
        <v>243</v>
      </c>
      <c r="E106" t="s">
        <v>925</v>
      </c>
      <c r="F106" s="8">
        <v>46078</v>
      </c>
      <c r="G106" s="8">
        <v>46090</v>
      </c>
      <c r="H106" t="s">
        <v>2492</v>
      </c>
      <c r="I106" t="s">
        <v>2509</v>
      </c>
      <c r="J106">
        <v>0</v>
      </c>
    </row>
    <row r="107" spans="1:11" x14ac:dyDescent="0.35">
      <c r="A107" t="s">
        <v>2619</v>
      </c>
      <c r="B107" t="s">
        <v>2490</v>
      </c>
      <c r="C107" t="s">
        <v>2497</v>
      </c>
      <c r="D107" t="s">
        <v>322</v>
      </c>
      <c r="E107" t="s">
        <v>1132</v>
      </c>
      <c r="F107" s="8">
        <v>46067</v>
      </c>
      <c r="G107" s="8">
        <v>46153</v>
      </c>
      <c r="H107" t="s">
        <v>2506</v>
      </c>
      <c r="I107" t="s">
        <v>2513</v>
      </c>
      <c r="J107">
        <v>17</v>
      </c>
      <c r="K107" t="s">
        <v>2515</v>
      </c>
    </row>
    <row r="108" spans="1:11" x14ac:dyDescent="0.35">
      <c r="A108" t="s">
        <v>2620</v>
      </c>
      <c r="B108" t="s">
        <v>2508</v>
      </c>
      <c r="C108" t="s">
        <v>2503</v>
      </c>
      <c r="D108" t="s">
        <v>48</v>
      </c>
      <c r="E108" t="s">
        <v>1358</v>
      </c>
      <c r="F108" s="8">
        <v>46028</v>
      </c>
      <c r="G108" s="8">
        <v>46042</v>
      </c>
      <c r="H108" t="s">
        <v>2506</v>
      </c>
      <c r="I108" t="s">
        <v>2509</v>
      </c>
      <c r="J108">
        <v>0</v>
      </c>
    </row>
    <row r="109" spans="1:11" x14ac:dyDescent="0.35">
      <c r="A109" t="s">
        <v>2621</v>
      </c>
      <c r="B109" t="s">
        <v>2490</v>
      </c>
      <c r="C109" t="s">
        <v>2512</v>
      </c>
      <c r="D109" t="s">
        <v>252</v>
      </c>
      <c r="E109" t="s">
        <v>1262</v>
      </c>
      <c r="F109" s="8">
        <v>46084</v>
      </c>
      <c r="G109" s="8">
        <v>46163</v>
      </c>
      <c r="H109" t="s">
        <v>2506</v>
      </c>
      <c r="I109" t="s">
        <v>2499</v>
      </c>
      <c r="J109">
        <v>7</v>
      </c>
      <c r="K109" t="s">
        <v>2500</v>
      </c>
    </row>
    <row r="110" spans="1:11" x14ac:dyDescent="0.35">
      <c r="A110" t="s">
        <v>2622</v>
      </c>
      <c r="B110" t="s">
        <v>2525</v>
      </c>
      <c r="C110" t="s">
        <v>2519</v>
      </c>
      <c r="D110" t="s">
        <v>269</v>
      </c>
      <c r="E110" t="s">
        <v>1612</v>
      </c>
      <c r="F110" s="8">
        <v>46092</v>
      </c>
      <c r="G110" s="8">
        <v>46141</v>
      </c>
      <c r="H110" t="s">
        <v>2506</v>
      </c>
      <c r="I110" t="s">
        <v>2513</v>
      </c>
      <c r="J110">
        <v>29</v>
      </c>
      <c r="K110" t="s">
        <v>2517</v>
      </c>
    </row>
    <row r="111" spans="1:11" x14ac:dyDescent="0.35">
      <c r="A111" t="s">
        <v>2623</v>
      </c>
      <c r="B111" t="s">
        <v>2496</v>
      </c>
      <c r="C111" t="s">
        <v>2491</v>
      </c>
      <c r="D111" t="s">
        <v>498</v>
      </c>
      <c r="E111" t="s">
        <v>927</v>
      </c>
      <c r="F111" s="8">
        <v>46141</v>
      </c>
      <c r="G111" s="8">
        <v>46137</v>
      </c>
      <c r="H111" t="s">
        <v>2492</v>
      </c>
      <c r="I111" t="s">
        <v>2513</v>
      </c>
      <c r="J111">
        <v>33</v>
      </c>
      <c r="K111" t="s">
        <v>2515</v>
      </c>
    </row>
    <row r="112" spans="1:11" x14ac:dyDescent="0.35">
      <c r="A112" t="s">
        <v>2624</v>
      </c>
      <c r="B112" t="s">
        <v>2502</v>
      </c>
      <c r="C112" t="s">
        <v>2522</v>
      </c>
      <c r="E112" t="s">
        <v>879</v>
      </c>
      <c r="F112" s="8">
        <v>46142</v>
      </c>
      <c r="G112" s="8">
        <v>46135</v>
      </c>
      <c r="H112" t="s">
        <v>2506</v>
      </c>
      <c r="I112" t="s">
        <v>2513</v>
      </c>
      <c r="J112">
        <v>35</v>
      </c>
      <c r="K112" t="s">
        <v>2494</v>
      </c>
    </row>
    <row r="113" spans="1:11" x14ac:dyDescent="0.35">
      <c r="A113" t="s">
        <v>2625</v>
      </c>
      <c r="B113" t="s">
        <v>2511</v>
      </c>
      <c r="C113" t="s">
        <v>2491</v>
      </c>
      <c r="D113" t="s">
        <v>171</v>
      </c>
      <c r="E113" t="s">
        <v>785</v>
      </c>
      <c r="F113" s="8">
        <v>46107</v>
      </c>
      <c r="G113" s="8">
        <v>46118</v>
      </c>
      <c r="H113" t="s">
        <v>2506</v>
      </c>
      <c r="I113" t="s">
        <v>2499</v>
      </c>
      <c r="J113">
        <v>52</v>
      </c>
      <c r="K113" t="s">
        <v>2494</v>
      </c>
    </row>
    <row r="114" spans="1:11" x14ac:dyDescent="0.35">
      <c r="A114" t="s">
        <v>2626</v>
      </c>
      <c r="B114" t="s">
        <v>2525</v>
      </c>
      <c r="C114" t="s">
        <v>2491</v>
      </c>
      <c r="D114" t="s">
        <v>322</v>
      </c>
      <c r="E114" t="s">
        <v>961</v>
      </c>
      <c r="F114" s="8">
        <v>46127</v>
      </c>
      <c r="G114" s="8">
        <v>46166</v>
      </c>
      <c r="H114" t="s">
        <v>2498</v>
      </c>
      <c r="I114" t="s">
        <v>2513</v>
      </c>
      <c r="J114">
        <v>4</v>
      </c>
      <c r="K114" t="s">
        <v>2504</v>
      </c>
    </row>
    <row r="115" spans="1:11" x14ac:dyDescent="0.35">
      <c r="A115" t="s">
        <v>2627</v>
      </c>
      <c r="B115" t="s">
        <v>2496</v>
      </c>
      <c r="C115" t="s">
        <v>2519</v>
      </c>
      <c r="D115" t="s">
        <v>416</v>
      </c>
      <c r="E115" t="s">
        <v>860</v>
      </c>
      <c r="F115" s="8">
        <v>46141</v>
      </c>
      <c r="G115" s="8">
        <v>46161</v>
      </c>
      <c r="H115" t="s">
        <v>2506</v>
      </c>
      <c r="I115" t="s">
        <v>2513</v>
      </c>
      <c r="J115">
        <v>9</v>
      </c>
      <c r="K115" t="s">
        <v>2517</v>
      </c>
    </row>
    <row r="116" spans="1:11" x14ac:dyDescent="0.35">
      <c r="A116" t="s">
        <v>2628</v>
      </c>
      <c r="B116" t="s">
        <v>2490</v>
      </c>
      <c r="C116" t="s">
        <v>2497</v>
      </c>
      <c r="D116" t="s">
        <v>424</v>
      </c>
      <c r="E116" t="s">
        <v>1246</v>
      </c>
      <c r="F116" s="8">
        <v>46062</v>
      </c>
      <c r="G116" s="8">
        <v>46132</v>
      </c>
      <c r="H116" t="s">
        <v>2506</v>
      </c>
      <c r="I116" t="s">
        <v>2513</v>
      </c>
      <c r="J116">
        <v>38</v>
      </c>
      <c r="K116" t="s">
        <v>2500</v>
      </c>
    </row>
    <row r="117" spans="1:11" x14ac:dyDescent="0.35">
      <c r="A117" t="s">
        <v>2629</v>
      </c>
      <c r="B117" t="s">
        <v>2502</v>
      </c>
      <c r="C117" t="s">
        <v>2491</v>
      </c>
      <c r="E117" t="s">
        <v>1432</v>
      </c>
      <c r="F117" s="8">
        <v>46105</v>
      </c>
      <c r="G117" s="8">
        <v>46119</v>
      </c>
      <c r="H117" t="s">
        <v>2498</v>
      </c>
      <c r="I117" t="s">
        <v>2499</v>
      </c>
      <c r="J117">
        <v>51</v>
      </c>
      <c r="K117" t="s">
        <v>2520</v>
      </c>
    </row>
    <row r="118" spans="1:11" x14ac:dyDescent="0.35">
      <c r="A118" t="s">
        <v>2630</v>
      </c>
      <c r="B118" t="s">
        <v>2502</v>
      </c>
      <c r="C118" t="s">
        <v>2512</v>
      </c>
      <c r="D118" t="s">
        <v>210</v>
      </c>
      <c r="E118" t="s">
        <v>1756</v>
      </c>
      <c r="F118" s="8">
        <v>46081</v>
      </c>
      <c r="G118" s="8">
        <v>46091</v>
      </c>
      <c r="H118" t="s">
        <v>2498</v>
      </c>
      <c r="I118" t="s">
        <v>2513</v>
      </c>
      <c r="J118">
        <v>79</v>
      </c>
      <c r="K118" t="s">
        <v>2494</v>
      </c>
    </row>
    <row r="119" spans="1:11" x14ac:dyDescent="0.35">
      <c r="A119" t="s">
        <v>2631</v>
      </c>
      <c r="B119" t="s">
        <v>2502</v>
      </c>
      <c r="C119" t="s">
        <v>2491</v>
      </c>
      <c r="E119" t="s">
        <v>967</v>
      </c>
      <c r="F119" s="8">
        <v>46049</v>
      </c>
      <c r="G119" s="8">
        <v>46073</v>
      </c>
      <c r="H119" t="s">
        <v>2506</v>
      </c>
      <c r="I119" t="s">
        <v>2513</v>
      </c>
      <c r="J119">
        <v>97</v>
      </c>
      <c r="K119" t="s">
        <v>2517</v>
      </c>
    </row>
    <row r="120" spans="1:11" x14ac:dyDescent="0.35">
      <c r="A120" t="s">
        <v>2632</v>
      </c>
      <c r="B120" t="s">
        <v>2508</v>
      </c>
      <c r="C120" t="s">
        <v>2497</v>
      </c>
      <c r="D120" t="s">
        <v>399</v>
      </c>
      <c r="E120" t="s">
        <v>1354</v>
      </c>
      <c r="F120" s="8">
        <v>46047</v>
      </c>
      <c r="G120" s="8">
        <v>46156</v>
      </c>
      <c r="H120" t="s">
        <v>2506</v>
      </c>
      <c r="I120" t="s">
        <v>2493</v>
      </c>
      <c r="J120">
        <v>14</v>
      </c>
      <c r="K120" t="s">
        <v>2517</v>
      </c>
    </row>
    <row r="121" spans="1:11" x14ac:dyDescent="0.35">
      <c r="A121" t="s">
        <v>2633</v>
      </c>
      <c r="B121" t="s">
        <v>2525</v>
      </c>
      <c r="C121" t="s">
        <v>2491</v>
      </c>
      <c r="D121" t="s">
        <v>269</v>
      </c>
      <c r="E121" t="s">
        <v>2161</v>
      </c>
      <c r="F121" s="8">
        <v>46033</v>
      </c>
      <c r="G121" s="8">
        <v>46055</v>
      </c>
      <c r="H121" t="s">
        <v>2506</v>
      </c>
      <c r="I121" t="s">
        <v>2509</v>
      </c>
      <c r="J121">
        <v>0</v>
      </c>
    </row>
    <row r="122" spans="1:11" x14ac:dyDescent="0.35">
      <c r="A122" t="s">
        <v>2634</v>
      </c>
      <c r="B122" t="s">
        <v>2525</v>
      </c>
      <c r="C122" t="s">
        <v>2512</v>
      </c>
      <c r="D122" t="s">
        <v>535</v>
      </c>
      <c r="E122" t="s">
        <v>1128</v>
      </c>
      <c r="F122" s="8">
        <v>46115</v>
      </c>
      <c r="G122" s="8">
        <v>46138</v>
      </c>
      <c r="H122" t="s">
        <v>2506</v>
      </c>
      <c r="I122" t="s">
        <v>2499</v>
      </c>
      <c r="J122">
        <v>32</v>
      </c>
      <c r="K122" t="s">
        <v>2504</v>
      </c>
    </row>
    <row r="123" spans="1:11" x14ac:dyDescent="0.35">
      <c r="A123" t="s">
        <v>2635</v>
      </c>
      <c r="B123" t="s">
        <v>2496</v>
      </c>
      <c r="C123" t="s">
        <v>2491</v>
      </c>
      <c r="D123" t="s">
        <v>139</v>
      </c>
      <c r="E123" t="s">
        <v>1108</v>
      </c>
      <c r="F123" s="8">
        <v>46144</v>
      </c>
      <c r="G123" s="8">
        <v>46166</v>
      </c>
      <c r="H123" t="s">
        <v>2506</v>
      </c>
      <c r="I123" t="s">
        <v>2513</v>
      </c>
      <c r="J123">
        <v>4</v>
      </c>
      <c r="K123" t="s">
        <v>2494</v>
      </c>
    </row>
    <row r="124" spans="1:11" x14ac:dyDescent="0.35">
      <c r="A124" t="s">
        <v>2636</v>
      </c>
      <c r="B124" t="s">
        <v>2525</v>
      </c>
      <c r="C124" t="s">
        <v>2512</v>
      </c>
      <c r="D124" t="s">
        <v>215</v>
      </c>
      <c r="E124" t="s">
        <v>1258</v>
      </c>
      <c r="F124" s="8">
        <v>46116</v>
      </c>
      <c r="G124" s="8">
        <v>46148</v>
      </c>
      <c r="H124" t="s">
        <v>2498</v>
      </c>
      <c r="I124" t="s">
        <v>2513</v>
      </c>
      <c r="J124">
        <v>22</v>
      </c>
      <c r="K124" t="s">
        <v>2517</v>
      </c>
    </row>
    <row r="125" spans="1:11" x14ac:dyDescent="0.35">
      <c r="A125" t="s">
        <v>2637</v>
      </c>
      <c r="B125" t="s">
        <v>2508</v>
      </c>
      <c r="C125" t="s">
        <v>2512</v>
      </c>
      <c r="D125" t="s">
        <v>490</v>
      </c>
      <c r="E125" t="s">
        <v>2415</v>
      </c>
      <c r="F125" s="8">
        <v>46129</v>
      </c>
      <c r="G125" s="8">
        <v>46138</v>
      </c>
      <c r="H125" t="s">
        <v>2506</v>
      </c>
      <c r="I125" t="s">
        <v>2493</v>
      </c>
      <c r="J125">
        <v>32</v>
      </c>
      <c r="K125" t="s">
        <v>2500</v>
      </c>
    </row>
    <row r="126" spans="1:11" x14ac:dyDescent="0.35">
      <c r="A126" t="s">
        <v>2638</v>
      </c>
      <c r="B126" t="s">
        <v>2490</v>
      </c>
      <c r="C126" t="s">
        <v>2497</v>
      </c>
      <c r="D126" t="s">
        <v>224</v>
      </c>
      <c r="E126" t="s">
        <v>1316</v>
      </c>
      <c r="F126" s="8">
        <v>46162</v>
      </c>
      <c r="G126" s="8">
        <v>46130</v>
      </c>
      <c r="H126" t="s">
        <v>2506</v>
      </c>
      <c r="I126" t="s">
        <v>2513</v>
      </c>
      <c r="J126">
        <v>40</v>
      </c>
      <c r="K126" t="s">
        <v>2520</v>
      </c>
    </row>
    <row r="127" spans="1:11" x14ac:dyDescent="0.35">
      <c r="A127" t="s">
        <v>2639</v>
      </c>
      <c r="B127" t="s">
        <v>2502</v>
      </c>
      <c r="C127" t="s">
        <v>2522</v>
      </c>
      <c r="E127" t="s">
        <v>2445</v>
      </c>
      <c r="F127" s="8">
        <v>46093</v>
      </c>
      <c r="G127" s="8">
        <v>46104</v>
      </c>
      <c r="H127" t="s">
        <v>2506</v>
      </c>
      <c r="I127" t="s">
        <v>2493</v>
      </c>
      <c r="J127">
        <v>66</v>
      </c>
      <c r="K127" t="s">
        <v>2500</v>
      </c>
    </row>
    <row r="128" spans="1:11" x14ac:dyDescent="0.35">
      <c r="A128" t="s">
        <v>2640</v>
      </c>
      <c r="B128" t="s">
        <v>2511</v>
      </c>
      <c r="C128" t="s">
        <v>2503</v>
      </c>
      <c r="D128" t="s">
        <v>345</v>
      </c>
      <c r="E128" t="s">
        <v>797</v>
      </c>
      <c r="F128" s="8">
        <v>46063</v>
      </c>
      <c r="G128" s="8">
        <v>46095</v>
      </c>
      <c r="H128" t="s">
        <v>2492</v>
      </c>
      <c r="I128" t="s">
        <v>2509</v>
      </c>
      <c r="J128">
        <v>0</v>
      </c>
    </row>
    <row r="129" spans="1:11" x14ac:dyDescent="0.35">
      <c r="A129" t="s">
        <v>2641</v>
      </c>
      <c r="B129" t="s">
        <v>2525</v>
      </c>
      <c r="C129" t="s">
        <v>2503</v>
      </c>
      <c r="D129" t="s">
        <v>158</v>
      </c>
      <c r="E129" t="s">
        <v>2406</v>
      </c>
      <c r="F129" s="8">
        <v>46108</v>
      </c>
      <c r="G129" s="8">
        <v>46139</v>
      </c>
      <c r="H129" t="s">
        <v>2506</v>
      </c>
      <c r="I129" t="s">
        <v>2509</v>
      </c>
      <c r="J129">
        <v>0</v>
      </c>
    </row>
    <row r="130" spans="1:11" x14ac:dyDescent="0.35">
      <c r="A130" t="s">
        <v>2642</v>
      </c>
      <c r="B130" t="s">
        <v>2511</v>
      </c>
      <c r="C130" t="s">
        <v>2522</v>
      </c>
      <c r="D130" t="s">
        <v>224</v>
      </c>
      <c r="E130" t="s">
        <v>2233</v>
      </c>
      <c r="F130" s="8">
        <v>46083</v>
      </c>
      <c r="G130" s="8">
        <v>46153</v>
      </c>
      <c r="H130" t="s">
        <v>2498</v>
      </c>
      <c r="I130" t="s">
        <v>2509</v>
      </c>
      <c r="J130">
        <v>0</v>
      </c>
    </row>
    <row r="131" spans="1:11" x14ac:dyDescent="0.35">
      <c r="A131" t="s">
        <v>2643</v>
      </c>
      <c r="B131" t="s">
        <v>2502</v>
      </c>
      <c r="C131" t="s">
        <v>2522</v>
      </c>
      <c r="D131" t="s">
        <v>168</v>
      </c>
      <c r="E131" t="s">
        <v>2393</v>
      </c>
      <c r="F131" s="8">
        <v>46100</v>
      </c>
      <c r="G131" s="8">
        <v>46133</v>
      </c>
      <c r="H131" t="s">
        <v>2506</v>
      </c>
      <c r="I131" t="s">
        <v>2499</v>
      </c>
      <c r="J131">
        <v>37</v>
      </c>
      <c r="K131" t="s">
        <v>2520</v>
      </c>
    </row>
    <row r="132" spans="1:11" x14ac:dyDescent="0.35">
      <c r="A132" t="s">
        <v>2644</v>
      </c>
      <c r="B132" t="s">
        <v>2525</v>
      </c>
      <c r="C132" t="s">
        <v>2519</v>
      </c>
      <c r="D132" t="s">
        <v>485</v>
      </c>
      <c r="E132" t="s">
        <v>1418</v>
      </c>
      <c r="F132" s="8">
        <v>46044</v>
      </c>
      <c r="G132" s="8">
        <v>46072</v>
      </c>
      <c r="H132" t="s">
        <v>2492</v>
      </c>
      <c r="I132" t="s">
        <v>2509</v>
      </c>
      <c r="J132">
        <v>0</v>
      </c>
    </row>
    <row r="133" spans="1:11" x14ac:dyDescent="0.35">
      <c r="A133" t="s">
        <v>2645</v>
      </c>
      <c r="B133" t="s">
        <v>2511</v>
      </c>
      <c r="C133" t="s">
        <v>2522</v>
      </c>
      <c r="D133" t="s">
        <v>485</v>
      </c>
      <c r="E133" t="s">
        <v>1478</v>
      </c>
      <c r="F133" s="8">
        <v>46021</v>
      </c>
      <c r="G133" s="8">
        <v>46169</v>
      </c>
      <c r="H133" t="s">
        <v>2498</v>
      </c>
      <c r="I133" t="s">
        <v>2513</v>
      </c>
      <c r="J133">
        <v>1</v>
      </c>
      <c r="K133" t="s">
        <v>2494</v>
      </c>
    </row>
    <row r="134" spans="1:11" x14ac:dyDescent="0.35">
      <c r="A134" t="s">
        <v>2646</v>
      </c>
      <c r="B134" t="s">
        <v>2496</v>
      </c>
      <c r="C134" t="s">
        <v>2497</v>
      </c>
      <c r="D134" t="s">
        <v>171</v>
      </c>
      <c r="E134" t="s">
        <v>1132</v>
      </c>
      <c r="F134" s="8">
        <v>46051</v>
      </c>
      <c r="G134" s="8">
        <v>46071</v>
      </c>
      <c r="H134" t="s">
        <v>2506</v>
      </c>
      <c r="I134" t="s">
        <v>2513</v>
      </c>
      <c r="J134">
        <v>99</v>
      </c>
      <c r="K134" t="s">
        <v>2504</v>
      </c>
    </row>
    <row r="135" spans="1:11" x14ac:dyDescent="0.35">
      <c r="A135" t="s">
        <v>2647</v>
      </c>
      <c r="B135" t="s">
        <v>2508</v>
      </c>
      <c r="C135" t="s">
        <v>2491</v>
      </c>
      <c r="D135" t="s">
        <v>533</v>
      </c>
      <c r="E135" t="s">
        <v>819</v>
      </c>
      <c r="F135" s="8">
        <v>46086</v>
      </c>
      <c r="G135" s="8">
        <v>46109</v>
      </c>
      <c r="H135" t="s">
        <v>2498</v>
      </c>
      <c r="I135" t="s">
        <v>2509</v>
      </c>
      <c r="J135">
        <v>0</v>
      </c>
    </row>
    <row r="136" spans="1:11" x14ac:dyDescent="0.35">
      <c r="A136" t="s">
        <v>2648</v>
      </c>
      <c r="B136" t="s">
        <v>2508</v>
      </c>
      <c r="C136" t="s">
        <v>2491</v>
      </c>
      <c r="D136" t="s">
        <v>249</v>
      </c>
      <c r="E136" t="s">
        <v>707</v>
      </c>
      <c r="F136" s="8">
        <v>46038</v>
      </c>
      <c r="G136" s="8">
        <v>46159</v>
      </c>
      <c r="H136" t="s">
        <v>2506</v>
      </c>
      <c r="I136" t="s">
        <v>2499</v>
      </c>
      <c r="J136">
        <v>11</v>
      </c>
      <c r="K136" t="s">
        <v>2520</v>
      </c>
    </row>
    <row r="137" spans="1:11" x14ac:dyDescent="0.35">
      <c r="A137" t="s">
        <v>2649</v>
      </c>
      <c r="B137" t="s">
        <v>2490</v>
      </c>
      <c r="C137" t="s">
        <v>2491</v>
      </c>
      <c r="D137" t="s">
        <v>204</v>
      </c>
      <c r="E137" t="s">
        <v>726</v>
      </c>
      <c r="F137" s="8">
        <v>46114</v>
      </c>
      <c r="G137" s="8">
        <v>46132</v>
      </c>
      <c r="H137" t="s">
        <v>2498</v>
      </c>
      <c r="I137" t="s">
        <v>2513</v>
      </c>
      <c r="J137">
        <v>38</v>
      </c>
      <c r="K137" t="s">
        <v>2494</v>
      </c>
    </row>
    <row r="138" spans="1:11" x14ac:dyDescent="0.35">
      <c r="A138" t="s">
        <v>2650</v>
      </c>
      <c r="B138" t="s">
        <v>2496</v>
      </c>
      <c r="C138" t="s">
        <v>2519</v>
      </c>
      <c r="D138" t="s">
        <v>287</v>
      </c>
      <c r="E138" t="s">
        <v>870</v>
      </c>
      <c r="F138" s="8">
        <v>46072</v>
      </c>
      <c r="G138" s="8">
        <v>46136</v>
      </c>
      <c r="H138" t="s">
        <v>2498</v>
      </c>
      <c r="I138" t="s">
        <v>2513</v>
      </c>
      <c r="J138">
        <v>34</v>
      </c>
      <c r="K138" t="s">
        <v>2520</v>
      </c>
    </row>
    <row r="139" spans="1:11" x14ac:dyDescent="0.35">
      <c r="A139" t="s">
        <v>2651</v>
      </c>
      <c r="B139" t="s">
        <v>2508</v>
      </c>
      <c r="C139" t="s">
        <v>2512</v>
      </c>
      <c r="D139" t="s">
        <v>388</v>
      </c>
      <c r="E139" t="s">
        <v>1326</v>
      </c>
      <c r="F139" s="8">
        <v>46154</v>
      </c>
      <c r="G139" s="8">
        <v>46161</v>
      </c>
      <c r="H139" t="s">
        <v>2506</v>
      </c>
      <c r="I139" t="s">
        <v>2513</v>
      </c>
      <c r="J139">
        <v>9</v>
      </c>
      <c r="K139" t="s">
        <v>2494</v>
      </c>
    </row>
    <row r="140" spans="1:11" x14ac:dyDescent="0.35">
      <c r="A140" t="s">
        <v>2652</v>
      </c>
      <c r="B140" t="s">
        <v>2525</v>
      </c>
      <c r="C140" t="s">
        <v>2491</v>
      </c>
      <c r="D140" t="s">
        <v>451</v>
      </c>
      <c r="E140" t="s">
        <v>1166</v>
      </c>
      <c r="F140" s="8">
        <v>46020</v>
      </c>
      <c r="G140" s="8">
        <v>46039</v>
      </c>
      <c r="H140" t="s">
        <v>2506</v>
      </c>
      <c r="I140" t="s">
        <v>2509</v>
      </c>
      <c r="J140">
        <v>0</v>
      </c>
    </row>
    <row r="141" spans="1:11" x14ac:dyDescent="0.35">
      <c r="A141" t="s">
        <v>2653</v>
      </c>
      <c r="B141" t="s">
        <v>2490</v>
      </c>
      <c r="C141" t="s">
        <v>2491</v>
      </c>
      <c r="E141" t="s">
        <v>1492</v>
      </c>
      <c r="F141" s="8">
        <v>46058</v>
      </c>
      <c r="G141" s="8">
        <v>46090</v>
      </c>
      <c r="H141" t="s">
        <v>2498</v>
      </c>
      <c r="I141" t="s">
        <v>2499</v>
      </c>
      <c r="J141">
        <v>80</v>
      </c>
      <c r="K141" t="s">
        <v>2515</v>
      </c>
    </row>
    <row r="142" spans="1:11" x14ac:dyDescent="0.35">
      <c r="A142" t="s">
        <v>2654</v>
      </c>
      <c r="B142" t="s">
        <v>2490</v>
      </c>
      <c r="C142" t="s">
        <v>2519</v>
      </c>
      <c r="D142" t="s">
        <v>563</v>
      </c>
      <c r="E142" t="s">
        <v>1747</v>
      </c>
      <c r="F142" s="8">
        <v>46084</v>
      </c>
      <c r="G142" s="8">
        <v>46164</v>
      </c>
      <c r="H142" t="s">
        <v>2506</v>
      </c>
      <c r="I142" t="s">
        <v>2513</v>
      </c>
      <c r="J142">
        <v>6</v>
      </c>
      <c r="K142" t="s">
        <v>2515</v>
      </c>
    </row>
    <row r="143" spans="1:11" x14ac:dyDescent="0.35">
      <c r="A143" t="s">
        <v>2655</v>
      </c>
      <c r="B143" t="s">
        <v>2511</v>
      </c>
      <c r="C143" t="s">
        <v>2519</v>
      </c>
      <c r="D143" t="s">
        <v>440</v>
      </c>
      <c r="E143" t="s">
        <v>1210</v>
      </c>
      <c r="F143" s="8">
        <v>46147</v>
      </c>
      <c r="G143" s="8">
        <v>46157</v>
      </c>
      <c r="H143" t="s">
        <v>2498</v>
      </c>
      <c r="I143" t="s">
        <v>2513</v>
      </c>
      <c r="J143">
        <v>13</v>
      </c>
      <c r="K143" t="s">
        <v>2494</v>
      </c>
    </row>
    <row r="144" spans="1:11" x14ac:dyDescent="0.35">
      <c r="A144" t="s">
        <v>2656</v>
      </c>
      <c r="B144" t="s">
        <v>2490</v>
      </c>
      <c r="C144" t="s">
        <v>2497</v>
      </c>
      <c r="E144" t="s">
        <v>1809</v>
      </c>
      <c r="F144" s="8">
        <v>46104</v>
      </c>
      <c r="G144" s="8">
        <v>46154</v>
      </c>
      <c r="H144" t="s">
        <v>2506</v>
      </c>
      <c r="I144" t="s">
        <v>2499</v>
      </c>
      <c r="J144">
        <v>16</v>
      </c>
      <c r="K144" t="s">
        <v>2517</v>
      </c>
    </row>
    <row r="145" spans="1:11" x14ac:dyDescent="0.35">
      <c r="A145" t="s">
        <v>2657</v>
      </c>
      <c r="B145" t="s">
        <v>2525</v>
      </c>
      <c r="C145" t="s">
        <v>2512</v>
      </c>
      <c r="D145" t="s">
        <v>319</v>
      </c>
      <c r="E145" t="s">
        <v>1322</v>
      </c>
      <c r="F145" s="8">
        <v>46059</v>
      </c>
      <c r="G145" s="8">
        <v>46073</v>
      </c>
      <c r="H145" t="s">
        <v>2506</v>
      </c>
      <c r="I145" t="s">
        <v>2513</v>
      </c>
      <c r="J145">
        <v>97</v>
      </c>
      <c r="K145" t="s">
        <v>2517</v>
      </c>
    </row>
    <row r="146" spans="1:11" x14ac:dyDescent="0.35">
      <c r="A146" t="s">
        <v>2658</v>
      </c>
      <c r="B146" t="s">
        <v>2508</v>
      </c>
      <c r="C146" t="s">
        <v>2512</v>
      </c>
      <c r="D146" t="s">
        <v>404</v>
      </c>
      <c r="E146" t="s">
        <v>887</v>
      </c>
      <c r="F146" s="8">
        <v>46027</v>
      </c>
      <c r="G146" s="8">
        <v>46041</v>
      </c>
      <c r="H146" t="s">
        <v>2506</v>
      </c>
      <c r="I146" t="s">
        <v>2493</v>
      </c>
      <c r="J146">
        <v>129</v>
      </c>
      <c r="K146" t="s">
        <v>2494</v>
      </c>
    </row>
    <row r="147" spans="1:11" x14ac:dyDescent="0.35">
      <c r="A147" t="s">
        <v>2659</v>
      </c>
      <c r="B147" t="s">
        <v>2511</v>
      </c>
      <c r="C147" t="s">
        <v>2519</v>
      </c>
      <c r="E147" t="s">
        <v>2210</v>
      </c>
      <c r="F147" s="8">
        <v>46061</v>
      </c>
      <c r="G147" s="8">
        <v>46071</v>
      </c>
      <c r="H147" t="s">
        <v>2492</v>
      </c>
      <c r="I147" t="s">
        <v>2513</v>
      </c>
      <c r="J147">
        <v>99</v>
      </c>
      <c r="K147" t="s">
        <v>2500</v>
      </c>
    </row>
    <row r="148" spans="1:11" x14ac:dyDescent="0.35">
      <c r="A148" t="s">
        <v>2660</v>
      </c>
      <c r="B148" t="s">
        <v>2502</v>
      </c>
      <c r="C148" t="s">
        <v>2497</v>
      </c>
      <c r="D148" t="s">
        <v>545</v>
      </c>
      <c r="E148" t="s">
        <v>649</v>
      </c>
      <c r="F148" s="8">
        <v>46082</v>
      </c>
      <c r="G148" s="8">
        <v>46099</v>
      </c>
      <c r="H148" t="s">
        <v>2498</v>
      </c>
      <c r="I148" t="s">
        <v>2499</v>
      </c>
      <c r="J148">
        <v>71</v>
      </c>
      <c r="K148" t="s">
        <v>2494</v>
      </c>
    </row>
    <row r="149" spans="1:11" x14ac:dyDescent="0.35">
      <c r="A149" t="s">
        <v>2661</v>
      </c>
      <c r="B149" t="s">
        <v>2508</v>
      </c>
      <c r="C149" t="s">
        <v>2522</v>
      </c>
      <c r="D149" t="s">
        <v>468</v>
      </c>
      <c r="E149" t="s">
        <v>2163</v>
      </c>
      <c r="F149" s="8">
        <v>46097</v>
      </c>
      <c r="G149" s="8">
        <v>46121</v>
      </c>
      <c r="H149" t="s">
        <v>2506</v>
      </c>
      <c r="I149" t="s">
        <v>2499</v>
      </c>
      <c r="J149">
        <v>49</v>
      </c>
      <c r="K149" t="s">
        <v>2515</v>
      </c>
    </row>
    <row r="150" spans="1:11" x14ac:dyDescent="0.35">
      <c r="A150" t="s">
        <v>2662</v>
      </c>
      <c r="B150" t="s">
        <v>2496</v>
      </c>
      <c r="C150" t="s">
        <v>2522</v>
      </c>
      <c r="E150" t="s">
        <v>2344</v>
      </c>
      <c r="F150" s="8">
        <v>46056</v>
      </c>
      <c r="G150" s="8">
        <v>46082</v>
      </c>
      <c r="H150" t="s">
        <v>2506</v>
      </c>
      <c r="I150" t="s">
        <v>2499</v>
      </c>
      <c r="J150">
        <v>88</v>
      </c>
      <c r="K150" t="s">
        <v>2504</v>
      </c>
    </row>
    <row r="151" spans="1:11" x14ac:dyDescent="0.35">
      <c r="A151" t="s">
        <v>2663</v>
      </c>
      <c r="B151" t="s">
        <v>2496</v>
      </c>
      <c r="C151" t="s">
        <v>2491</v>
      </c>
      <c r="D151" t="s">
        <v>345</v>
      </c>
      <c r="E151" t="s">
        <v>1314</v>
      </c>
      <c r="F151" s="8">
        <v>46153</v>
      </c>
      <c r="G151" s="8">
        <v>46157</v>
      </c>
      <c r="H151" t="s">
        <v>2506</v>
      </c>
      <c r="I151" t="s">
        <v>2493</v>
      </c>
      <c r="J151">
        <v>13</v>
      </c>
      <c r="K151" t="s">
        <v>2515</v>
      </c>
    </row>
    <row r="152" spans="1:11" x14ac:dyDescent="0.35">
      <c r="A152" t="s">
        <v>2664</v>
      </c>
      <c r="B152" t="s">
        <v>2511</v>
      </c>
      <c r="C152" t="s">
        <v>2491</v>
      </c>
      <c r="E152" t="s">
        <v>2175</v>
      </c>
      <c r="F152" s="8">
        <v>46156</v>
      </c>
      <c r="G152" s="8">
        <v>46156</v>
      </c>
      <c r="H152" t="s">
        <v>2492</v>
      </c>
      <c r="I152" t="s">
        <v>2493</v>
      </c>
      <c r="J152">
        <v>14</v>
      </c>
      <c r="K152" t="s">
        <v>2520</v>
      </c>
    </row>
    <row r="153" spans="1:11" x14ac:dyDescent="0.35">
      <c r="A153" t="s">
        <v>2665</v>
      </c>
      <c r="B153" t="s">
        <v>2496</v>
      </c>
      <c r="C153" t="s">
        <v>2497</v>
      </c>
      <c r="E153" t="s">
        <v>1446</v>
      </c>
      <c r="F153" s="8">
        <v>46108</v>
      </c>
      <c r="G153" s="8">
        <v>46164</v>
      </c>
      <c r="H153" t="s">
        <v>2506</v>
      </c>
      <c r="I153" t="s">
        <v>2513</v>
      </c>
      <c r="J153">
        <v>6</v>
      </c>
      <c r="K153" t="s">
        <v>2520</v>
      </c>
    </row>
    <row r="154" spans="1:11" x14ac:dyDescent="0.35">
      <c r="A154" t="s">
        <v>2666</v>
      </c>
      <c r="B154" t="s">
        <v>2511</v>
      </c>
      <c r="C154" t="s">
        <v>2522</v>
      </c>
      <c r="D154" t="s">
        <v>375</v>
      </c>
      <c r="E154" t="s">
        <v>1190</v>
      </c>
      <c r="F154" s="8">
        <v>46070</v>
      </c>
      <c r="G154" s="8">
        <v>46142</v>
      </c>
      <c r="H154" t="s">
        <v>2498</v>
      </c>
      <c r="I154" t="s">
        <v>2493</v>
      </c>
      <c r="J154">
        <v>28</v>
      </c>
      <c r="K154" t="s">
        <v>2520</v>
      </c>
    </row>
    <row r="155" spans="1:11" x14ac:dyDescent="0.35">
      <c r="A155" t="s">
        <v>2667</v>
      </c>
      <c r="B155" t="s">
        <v>2511</v>
      </c>
      <c r="C155" t="s">
        <v>2519</v>
      </c>
      <c r="D155" t="s">
        <v>485</v>
      </c>
      <c r="E155" t="s">
        <v>1152</v>
      </c>
      <c r="F155" s="8">
        <v>46122</v>
      </c>
      <c r="G155" s="8">
        <v>46146</v>
      </c>
      <c r="H155" t="s">
        <v>2506</v>
      </c>
      <c r="I155" t="s">
        <v>2499</v>
      </c>
      <c r="J155">
        <v>24</v>
      </c>
      <c r="K155" t="s">
        <v>2494</v>
      </c>
    </row>
    <row r="156" spans="1:11" x14ac:dyDescent="0.35">
      <c r="A156" t="s">
        <v>2668</v>
      </c>
      <c r="B156" t="s">
        <v>2508</v>
      </c>
      <c r="C156" t="s">
        <v>2522</v>
      </c>
      <c r="D156" t="s">
        <v>35</v>
      </c>
      <c r="E156" t="s">
        <v>1044</v>
      </c>
      <c r="F156" s="8">
        <v>46026</v>
      </c>
      <c r="G156" s="8">
        <v>46050</v>
      </c>
      <c r="H156" t="s">
        <v>2498</v>
      </c>
      <c r="I156" t="s">
        <v>2509</v>
      </c>
      <c r="J156">
        <v>0</v>
      </c>
    </row>
    <row r="157" spans="1:11" x14ac:dyDescent="0.35">
      <c r="A157" t="s">
        <v>2669</v>
      </c>
      <c r="B157" t="s">
        <v>2525</v>
      </c>
      <c r="C157" t="s">
        <v>2491</v>
      </c>
      <c r="D157" t="s">
        <v>391</v>
      </c>
      <c r="E157" t="s">
        <v>1624</v>
      </c>
      <c r="F157" s="8">
        <v>46033</v>
      </c>
      <c r="G157" s="8">
        <v>46153</v>
      </c>
      <c r="H157" t="s">
        <v>2506</v>
      </c>
      <c r="I157" t="s">
        <v>2513</v>
      </c>
      <c r="J157">
        <v>17</v>
      </c>
      <c r="K157" t="s">
        <v>2504</v>
      </c>
    </row>
    <row r="158" spans="1:11" x14ac:dyDescent="0.35">
      <c r="A158" t="s">
        <v>2670</v>
      </c>
      <c r="B158" t="s">
        <v>2490</v>
      </c>
      <c r="C158" t="s">
        <v>2519</v>
      </c>
      <c r="D158" t="s">
        <v>287</v>
      </c>
      <c r="E158" t="s">
        <v>2157</v>
      </c>
      <c r="F158" s="8">
        <v>46158</v>
      </c>
      <c r="G158" s="8">
        <v>46179</v>
      </c>
      <c r="H158" t="s">
        <v>2506</v>
      </c>
      <c r="I158" t="s">
        <v>2499</v>
      </c>
      <c r="J158">
        <v>0</v>
      </c>
      <c r="K158" t="s">
        <v>2494</v>
      </c>
    </row>
    <row r="159" spans="1:11" x14ac:dyDescent="0.35">
      <c r="A159" t="s">
        <v>2671</v>
      </c>
      <c r="B159" t="s">
        <v>2490</v>
      </c>
      <c r="C159" t="s">
        <v>2497</v>
      </c>
      <c r="E159" t="s">
        <v>2199</v>
      </c>
      <c r="F159" s="8">
        <v>46109</v>
      </c>
      <c r="G159" s="8">
        <v>46160</v>
      </c>
      <c r="H159" t="s">
        <v>2506</v>
      </c>
      <c r="I159" t="s">
        <v>2509</v>
      </c>
      <c r="J159">
        <v>0</v>
      </c>
    </row>
    <row r="160" spans="1:11" x14ac:dyDescent="0.35">
      <c r="A160" t="s">
        <v>2672</v>
      </c>
      <c r="B160" t="s">
        <v>2511</v>
      </c>
      <c r="C160" t="s">
        <v>2503</v>
      </c>
      <c r="D160" t="s">
        <v>212</v>
      </c>
      <c r="E160" t="s">
        <v>1048</v>
      </c>
      <c r="F160" s="8">
        <v>46142</v>
      </c>
      <c r="G160" s="8">
        <v>46150</v>
      </c>
      <c r="H160" t="s">
        <v>2506</v>
      </c>
      <c r="I160" t="s">
        <v>2499</v>
      </c>
      <c r="J160">
        <v>20</v>
      </c>
      <c r="K160" t="s">
        <v>2520</v>
      </c>
    </row>
    <row r="161" spans="1:11" x14ac:dyDescent="0.35">
      <c r="A161" t="s">
        <v>2673</v>
      </c>
      <c r="B161" t="s">
        <v>2525</v>
      </c>
      <c r="C161" t="s">
        <v>2491</v>
      </c>
      <c r="D161" t="s">
        <v>168</v>
      </c>
      <c r="E161" t="s">
        <v>755</v>
      </c>
      <c r="F161" s="8">
        <v>46155</v>
      </c>
      <c r="G161" s="8">
        <v>46169</v>
      </c>
      <c r="H161" t="s">
        <v>2498</v>
      </c>
      <c r="I161" t="s">
        <v>2513</v>
      </c>
      <c r="J161">
        <v>1</v>
      </c>
      <c r="K161" t="s">
        <v>2515</v>
      </c>
    </row>
    <row r="162" spans="1:11" x14ac:dyDescent="0.35">
      <c r="A162" t="s">
        <v>2674</v>
      </c>
      <c r="B162" t="s">
        <v>2496</v>
      </c>
      <c r="C162" t="s">
        <v>2491</v>
      </c>
      <c r="D162" t="s">
        <v>553</v>
      </c>
      <c r="E162" t="s">
        <v>1354</v>
      </c>
      <c r="F162" s="8">
        <v>46073</v>
      </c>
      <c r="G162" s="8">
        <v>46147</v>
      </c>
      <c r="H162" t="s">
        <v>2498</v>
      </c>
      <c r="I162" t="s">
        <v>2513</v>
      </c>
      <c r="J162">
        <v>23</v>
      </c>
      <c r="K162" t="s">
        <v>2520</v>
      </c>
    </row>
    <row r="163" spans="1:11" x14ac:dyDescent="0.35">
      <c r="A163" t="s">
        <v>2675</v>
      </c>
      <c r="B163" t="s">
        <v>2525</v>
      </c>
      <c r="C163" t="s">
        <v>2522</v>
      </c>
      <c r="D163" t="s">
        <v>132</v>
      </c>
      <c r="E163" t="s">
        <v>2208</v>
      </c>
      <c r="F163" s="8">
        <v>46107</v>
      </c>
      <c r="G163" s="8">
        <v>46116</v>
      </c>
      <c r="H163" t="s">
        <v>2506</v>
      </c>
      <c r="I163" t="s">
        <v>2493</v>
      </c>
      <c r="J163">
        <v>54</v>
      </c>
      <c r="K163" t="s">
        <v>2500</v>
      </c>
    </row>
    <row r="164" spans="1:11" x14ac:dyDescent="0.35">
      <c r="A164" t="s">
        <v>2676</v>
      </c>
      <c r="B164" t="s">
        <v>2496</v>
      </c>
      <c r="C164" t="s">
        <v>2503</v>
      </c>
      <c r="D164" t="s">
        <v>218</v>
      </c>
      <c r="E164" t="s">
        <v>676</v>
      </c>
      <c r="F164" s="8">
        <v>46157</v>
      </c>
      <c r="G164" s="8">
        <v>46176</v>
      </c>
      <c r="H164" t="s">
        <v>2506</v>
      </c>
      <c r="I164" t="s">
        <v>2493</v>
      </c>
      <c r="J164">
        <v>0</v>
      </c>
      <c r="K164" t="s">
        <v>2517</v>
      </c>
    </row>
    <row r="165" spans="1:11" x14ac:dyDescent="0.35">
      <c r="A165" t="s">
        <v>2677</v>
      </c>
      <c r="B165" t="s">
        <v>2511</v>
      </c>
      <c r="C165" t="s">
        <v>2512</v>
      </c>
      <c r="D165" t="s">
        <v>468</v>
      </c>
      <c r="E165" t="s">
        <v>2314</v>
      </c>
      <c r="F165" s="8">
        <v>46114</v>
      </c>
      <c r="G165" s="8">
        <v>46142</v>
      </c>
      <c r="H165" t="s">
        <v>2498</v>
      </c>
      <c r="I165" t="s">
        <v>2499</v>
      </c>
      <c r="J165">
        <v>28</v>
      </c>
      <c r="K165" t="s">
        <v>2494</v>
      </c>
    </row>
    <row r="166" spans="1:11" x14ac:dyDescent="0.35">
      <c r="A166" t="s">
        <v>2678</v>
      </c>
      <c r="B166" t="s">
        <v>2511</v>
      </c>
      <c r="C166" t="s">
        <v>2503</v>
      </c>
      <c r="E166" t="s">
        <v>2318</v>
      </c>
      <c r="F166" s="8">
        <v>46061</v>
      </c>
      <c r="G166" s="8">
        <v>46131</v>
      </c>
      <c r="H166" t="s">
        <v>2506</v>
      </c>
      <c r="I166" t="s">
        <v>2499</v>
      </c>
      <c r="J166">
        <v>39</v>
      </c>
      <c r="K166" t="s">
        <v>2500</v>
      </c>
    </row>
    <row r="167" spans="1:11" x14ac:dyDescent="0.35">
      <c r="A167" t="s">
        <v>2679</v>
      </c>
      <c r="B167" t="s">
        <v>2502</v>
      </c>
      <c r="C167" t="s">
        <v>2503</v>
      </c>
      <c r="D167" t="s">
        <v>380</v>
      </c>
      <c r="E167" t="s">
        <v>1560</v>
      </c>
      <c r="F167" s="8">
        <v>46034</v>
      </c>
      <c r="G167" s="8">
        <v>46043</v>
      </c>
      <c r="H167" t="s">
        <v>2498</v>
      </c>
      <c r="I167" t="s">
        <v>2493</v>
      </c>
      <c r="J167">
        <v>127</v>
      </c>
      <c r="K167" t="s">
        <v>2504</v>
      </c>
    </row>
    <row r="168" spans="1:11" x14ac:dyDescent="0.35">
      <c r="A168" t="s">
        <v>2680</v>
      </c>
      <c r="B168" t="s">
        <v>2502</v>
      </c>
      <c r="C168" t="s">
        <v>2503</v>
      </c>
      <c r="D168" t="s">
        <v>357</v>
      </c>
      <c r="E168" t="s">
        <v>1564</v>
      </c>
      <c r="F168" s="8">
        <v>46055</v>
      </c>
      <c r="G168" s="8">
        <v>46071</v>
      </c>
      <c r="H168" t="s">
        <v>2498</v>
      </c>
      <c r="I168" t="s">
        <v>2493</v>
      </c>
      <c r="J168">
        <v>99</v>
      </c>
      <c r="K168" t="s">
        <v>2515</v>
      </c>
    </row>
    <row r="169" spans="1:11" x14ac:dyDescent="0.35">
      <c r="A169" t="s">
        <v>2681</v>
      </c>
      <c r="B169" t="s">
        <v>2511</v>
      </c>
      <c r="C169" t="s">
        <v>2503</v>
      </c>
      <c r="D169" t="s">
        <v>380</v>
      </c>
      <c r="E169" t="s">
        <v>2474</v>
      </c>
      <c r="F169" s="8">
        <v>46045</v>
      </c>
      <c r="G169" s="8">
        <v>46142</v>
      </c>
      <c r="H169" t="s">
        <v>2506</v>
      </c>
      <c r="I169" t="s">
        <v>2513</v>
      </c>
      <c r="J169">
        <v>28</v>
      </c>
      <c r="K169" t="s">
        <v>2494</v>
      </c>
    </row>
    <row r="170" spans="1:11" x14ac:dyDescent="0.35">
      <c r="A170" t="s">
        <v>2682</v>
      </c>
      <c r="B170" t="s">
        <v>2496</v>
      </c>
      <c r="C170" t="s">
        <v>2503</v>
      </c>
      <c r="D170" t="s">
        <v>553</v>
      </c>
      <c r="E170" t="s">
        <v>1264</v>
      </c>
      <c r="F170" s="8">
        <v>46056</v>
      </c>
      <c r="G170" s="8">
        <v>46088</v>
      </c>
      <c r="H170" t="s">
        <v>2506</v>
      </c>
      <c r="I170" t="s">
        <v>2493</v>
      </c>
      <c r="J170">
        <v>82</v>
      </c>
      <c r="K170" t="s">
        <v>2494</v>
      </c>
    </row>
    <row r="171" spans="1:11" x14ac:dyDescent="0.35">
      <c r="A171" t="s">
        <v>2683</v>
      </c>
      <c r="B171" t="s">
        <v>2525</v>
      </c>
      <c r="C171" t="s">
        <v>2503</v>
      </c>
      <c r="D171" t="s">
        <v>524</v>
      </c>
      <c r="E171" t="s">
        <v>1380</v>
      </c>
      <c r="F171" s="8">
        <v>46021</v>
      </c>
      <c r="G171" s="8">
        <v>46038</v>
      </c>
      <c r="H171" t="s">
        <v>2506</v>
      </c>
      <c r="I171" t="s">
        <v>2513</v>
      </c>
      <c r="J171">
        <v>132</v>
      </c>
      <c r="K171" t="s">
        <v>2500</v>
      </c>
    </row>
    <row r="172" spans="1:11" x14ac:dyDescent="0.35">
      <c r="A172" t="s">
        <v>2684</v>
      </c>
      <c r="B172" t="s">
        <v>2490</v>
      </c>
      <c r="C172" t="s">
        <v>2497</v>
      </c>
      <c r="D172" t="s">
        <v>468</v>
      </c>
      <c r="E172" t="s">
        <v>1038</v>
      </c>
      <c r="F172" s="8">
        <v>46120</v>
      </c>
      <c r="G172" s="8">
        <v>46138</v>
      </c>
      <c r="H172" t="s">
        <v>2506</v>
      </c>
      <c r="I172" t="s">
        <v>2499</v>
      </c>
      <c r="J172">
        <v>32</v>
      </c>
      <c r="K172" t="s">
        <v>2504</v>
      </c>
    </row>
    <row r="173" spans="1:11" x14ac:dyDescent="0.35">
      <c r="A173" t="s">
        <v>2685</v>
      </c>
      <c r="B173" t="s">
        <v>2508</v>
      </c>
      <c r="C173" t="s">
        <v>2519</v>
      </c>
      <c r="D173" t="s">
        <v>404</v>
      </c>
      <c r="E173" t="s">
        <v>2235</v>
      </c>
      <c r="F173" s="8">
        <v>46046</v>
      </c>
      <c r="G173" s="8">
        <v>46134</v>
      </c>
      <c r="H173" t="s">
        <v>2498</v>
      </c>
      <c r="I173" t="s">
        <v>2513</v>
      </c>
      <c r="J173">
        <v>36</v>
      </c>
      <c r="K173" t="s">
        <v>2494</v>
      </c>
    </row>
    <row r="174" spans="1:11" x14ac:dyDescent="0.35">
      <c r="A174" t="s">
        <v>2686</v>
      </c>
      <c r="B174" t="s">
        <v>2490</v>
      </c>
      <c r="C174" t="s">
        <v>2497</v>
      </c>
      <c r="E174" t="s">
        <v>787</v>
      </c>
      <c r="F174" s="8">
        <v>46137</v>
      </c>
      <c r="G174" s="8">
        <v>46151</v>
      </c>
      <c r="H174" t="s">
        <v>2506</v>
      </c>
      <c r="I174" t="s">
        <v>2499</v>
      </c>
      <c r="J174">
        <v>19</v>
      </c>
      <c r="K174" t="s">
        <v>2504</v>
      </c>
    </row>
    <row r="175" spans="1:11" x14ac:dyDescent="0.35">
      <c r="A175" t="s">
        <v>2687</v>
      </c>
      <c r="B175" t="s">
        <v>2496</v>
      </c>
      <c r="C175" t="s">
        <v>2512</v>
      </c>
      <c r="D175" t="s">
        <v>319</v>
      </c>
      <c r="E175" t="s">
        <v>2435</v>
      </c>
      <c r="F175" s="8">
        <v>46038</v>
      </c>
      <c r="G175" s="8">
        <v>46066</v>
      </c>
      <c r="H175" t="s">
        <v>2506</v>
      </c>
      <c r="I175" t="s">
        <v>2513</v>
      </c>
      <c r="J175">
        <v>104</v>
      </c>
      <c r="K175" t="s">
        <v>2500</v>
      </c>
    </row>
    <row r="176" spans="1:11" x14ac:dyDescent="0.35">
      <c r="A176" t="s">
        <v>2688</v>
      </c>
      <c r="B176" t="s">
        <v>2496</v>
      </c>
      <c r="C176" t="s">
        <v>2522</v>
      </c>
      <c r="D176" t="s">
        <v>174</v>
      </c>
      <c r="E176" t="s">
        <v>1234</v>
      </c>
      <c r="F176" s="8">
        <v>46031</v>
      </c>
      <c r="G176" s="8">
        <v>46043</v>
      </c>
      <c r="H176" t="s">
        <v>2498</v>
      </c>
      <c r="I176" t="s">
        <v>2513</v>
      </c>
      <c r="J176">
        <v>127</v>
      </c>
      <c r="K176" t="s">
        <v>2494</v>
      </c>
    </row>
    <row r="177" spans="1:11" x14ac:dyDescent="0.35">
      <c r="A177" t="s">
        <v>2689</v>
      </c>
      <c r="B177" t="s">
        <v>2502</v>
      </c>
      <c r="C177" t="s">
        <v>2491</v>
      </c>
      <c r="E177" t="s">
        <v>1312</v>
      </c>
      <c r="F177" s="8">
        <v>46105</v>
      </c>
      <c r="G177" s="8">
        <v>46130</v>
      </c>
      <c r="H177" t="s">
        <v>2506</v>
      </c>
      <c r="I177" t="s">
        <v>2499</v>
      </c>
      <c r="J177">
        <v>40</v>
      </c>
      <c r="K177" t="s">
        <v>2504</v>
      </c>
    </row>
    <row r="178" spans="1:11" x14ac:dyDescent="0.35">
      <c r="A178" t="s">
        <v>2690</v>
      </c>
      <c r="B178" t="s">
        <v>2511</v>
      </c>
      <c r="C178" t="s">
        <v>2519</v>
      </c>
      <c r="D178" t="s">
        <v>339</v>
      </c>
      <c r="E178" t="s">
        <v>1402</v>
      </c>
      <c r="F178" s="8">
        <v>46120</v>
      </c>
      <c r="G178" s="8">
        <v>46144</v>
      </c>
      <c r="H178" t="s">
        <v>2506</v>
      </c>
      <c r="I178" t="s">
        <v>2499</v>
      </c>
      <c r="J178">
        <v>26</v>
      </c>
      <c r="K178" t="s">
        <v>2515</v>
      </c>
    </row>
    <row r="179" spans="1:11" x14ac:dyDescent="0.35">
      <c r="A179" t="s">
        <v>2691</v>
      </c>
      <c r="B179" t="s">
        <v>2525</v>
      </c>
      <c r="C179" t="s">
        <v>2519</v>
      </c>
      <c r="D179" t="s">
        <v>470</v>
      </c>
      <c r="E179" t="s">
        <v>849</v>
      </c>
      <c r="F179" s="8">
        <v>46067</v>
      </c>
      <c r="G179" s="8">
        <v>46166</v>
      </c>
      <c r="H179" t="s">
        <v>2498</v>
      </c>
      <c r="I179" t="s">
        <v>2499</v>
      </c>
      <c r="J179">
        <v>4</v>
      </c>
      <c r="K179" t="s">
        <v>2520</v>
      </c>
    </row>
    <row r="180" spans="1:11" x14ac:dyDescent="0.35">
      <c r="A180" t="s">
        <v>2692</v>
      </c>
      <c r="B180" t="s">
        <v>2508</v>
      </c>
      <c r="C180" t="s">
        <v>2519</v>
      </c>
      <c r="E180" t="s">
        <v>1058</v>
      </c>
      <c r="F180" s="8">
        <v>46043</v>
      </c>
      <c r="G180" s="8">
        <v>46050</v>
      </c>
      <c r="H180" t="s">
        <v>2492</v>
      </c>
      <c r="I180" t="s">
        <v>2493</v>
      </c>
      <c r="J180">
        <v>120</v>
      </c>
      <c r="K180" t="s">
        <v>2517</v>
      </c>
    </row>
    <row r="181" spans="1:11" x14ac:dyDescent="0.35">
      <c r="A181" t="s">
        <v>2693</v>
      </c>
      <c r="B181" t="s">
        <v>2511</v>
      </c>
      <c r="C181" t="s">
        <v>2491</v>
      </c>
      <c r="D181" t="s">
        <v>142</v>
      </c>
      <c r="E181" t="s">
        <v>1745</v>
      </c>
      <c r="F181" s="8">
        <v>46143</v>
      </c>
      <c r="G181" s="8">
        <v>46157</v>
      </c>
      <c r="H181" t="s">
        <v>2492</v>
      </c>
      <c r="I181" t="s">
        <v>2499</v>
      </c>
      <c r="J181">
        <v>13</v>
      </c>
      <c r="K181" t="s">
        <v>2517</v>
      </c>
    </row>
    <row r="182" spans="1:11" x14ac:dyDescent="0.35">
      <c r="A182" t="s">
        <v>2694</v>
      </c>
      <c r="B182" t="s">
        <v>2502</v>
      </c>
      <c r="C182" t="s">
        <v>2519</v>
      </c>
      <c r="D182" t="s">
        <v>204</v>
      </c>
      <c r="E182" t="s">
        <v>1750</v>
      </c>
      <c r="F182" s="8">
        <v>46024</v>
      </c>
      <c r="G182" s="8">
        <v>46046</v>
      </c>
      <c r="H182" t="s">
        <v>2506</v>
      </c>
      <c r="I182" t="s">
        <v>2513</v>
      </c>
      <c r="J182">
        <v>124</v>
      </c>
      <c r="K182" t="s">
        <v>2520</v>
      </c>
    </row>
    <row r="183" spans="1:11" x14ac:dyDescent="0.35">
      <c r="A183" t="s">
        <v>2695</v>
      </c>
      <c r="B183" t="s">
        <v>2502</v>
      </c>
      <c r="C183" t="s">
        <v>2519</v>
      </c>
      <c r="D183" t="s">
        <v>527</v>
      </c>
      <c r="E183" t="s">
        <v>2105</v>
      </c>
      <c r="F183" s="8">
        <v>46116</v>
      </c>
      <c r="G183" s="8">
        <v>46136</v>
      </c>
      <c r="H183" t="s">
        <v>2506</v>
      </c>
      <c r="I183" t="s">
        <v>2509</v>
      </c>
      <c r="J183">
        <v>0</v>
      </c>
    </row>
    <row r="184" spans="1:11" x14ac:dyDescent="0.35">
      <c r="A184" t="s">
        <v>2696</v>
      </c>
      <c r="B184" t="s">
        <v>2508</v>
      </c>
      <c r="C184" t="s">
        <v>2512</v>
      </c>
      <c r="D184" t="s">
        <v>212</v>
      </c>
      <c r="E184" t="s">
        <v>1640</v>
      </c>
      <c r="F184" s="8">
        <v>46056</v>
      </c>
      <c r="G184" s="8">
        <v>46085</v>
      </c>
      <c r="H184" t="s">
        <v>2506</v>
      </c>
      <c r="I184" t="s">
        <v>2499</v>
      </c>
      <c r="J184">
        <v>85</v>
      </c>
      <c r="K184" t="s">
        <v>2515</v>
      </c>
    </row>
    <row r="185" spans="1:11" x14ac:dyDescent="0.35">
      <c r="A185" t="s">
        <v>2697</v>
      </c>
      <c r="B185" t="s">
        <v>2490</v>
      </c>
      <c r="C185" t="s">
        <v>2503</v>
      </c>
      <c r="E185" t="s">
        <v>1088</v>
      </c>
      <c r="F185" s="8">
        <v>46046</v>
      </c>
      <c r="G185" s="8">
        <v>46139</v>
      </c>
      <c r="H185" t="s">
        <v>2506</v>
      </c>
      <c r="I185" t="s">
        <v>2513</v>
      </c>
      <c r="J185">
        <v>31</v>
      </c>
      <c r="K185" t="s">
        <v>2517</v>
      </c>
    </row>
    <row r="186" spans="1:11" x14ac:dyDescent="0.35">
      <c r="A186" t="s">
        <v>2698</v>
      </c>
      <c r="B186" t="s">
        <v>2490</v>
      </c>
      <c r="C186" t="s">
        <v>2497</v>
      </c>
      <c r="D186" t="s">
        <v>490</v>
      </c>
      <c r="E186" t="s">
        <v>726</v>
      </c>
      <c r="F186" s="8">
        <v>46069</v>
      </c>
      <c r="G186" s="8">
        <v>46099</v>
      </c>
      <c r="H186" t="s">
        <v>2492</v>
      </c>
      <c r="I186" t="s">
        <v>2499</v>
      </c>
      <c r="J186">
        <v>71</v>
      </c>
      <c r="K186" t="s">
        <v>2520</v>
      </c>
    </row>
    <row r="187" spans="1:11" x14ac:dyDescent="0.35">
      <c r="A187" t="s">
        <v>2699</v>
      </c>
      <c r="B187" t="s">
        <v>2502</v>
      </c>
      <c r="C187" t="s">
        <v>2512</v>
      </c>
      <c r="E187" t="s">
        <v>1612</v>
      </c>
      <c r="F187" s="8">
        <v>46029</v>
      </c>
      <c r="G187" s="8">
        <v>46063</v>
      </c>
      <c r="H187" t="s">
        <v>2498</v>
      </c>
      <c r="I187" t="s">
        <v>2513</v>
      </c>
      <c r="J187">
        <v>107</v>
      </c>
      <c r="K187" t="s">
        <v>2504</v>
      </c>
    </row>
    <row r="188" spans="1:11" x14ac:dyDescent="0.35">
      <c r="A188" t="s">
        <v>2700</v>
      </c>
      <c r="B188" t="s">
        <v>2525</v>
      </c>
      <c r="C188" t="s">
        <v>2519</v>
      </c>
      <c r="D188" t="s">
        <v>448</v>
      </c>
      <c r="E188" t="s">
        <v>703</v>
      </c>
      <c r="F188" s="8">
        <v>46139</v>
      </c>
      <c r="G188" s="8">
        <v>46164</v>
      </c>
      <c r="H188" t="s">
        <v>2506</v>
      </c>
      <c r="I188" t="s">
        <v>2499</v>
      </c>
      <c r="J188">
        <v>6</v>
      </c>
      <c r="K188" t="s">
        <v>2494</v>
      </c>
    </row>
    <row r="189" spans="1:11" x14ac:dyDescent="0.35">
      <c r="A189" t="s">
        <v>2701</v>
      </c>
      <c r="B189" t="s">
        <v>2508</v>
      </c>
      <c r="C189" t="s">
        <v>2522</v>
      </c>
      <c r="E189" t="s">
        <v>1796</v>
      </c>
      <c r="F189" s="8">
        <v>46025</v>
      </c>
      <c r="G189" s="8">
        <v>46048</v>
      </c>
      <c r="H189" t="s">
        <v>2492</v>
      </c>
      <c r="I189" t="s">
        <v>2513</v>
      </c>
      <c r="J189">
        <v>122</v>
      </c>
      <c r="K189" t="s">
        <v>2517</v>
      </c>
    </row>
    <row r="190" spans="1:11" x14ac:dyDescent="0.35">
      <c r="A190" t="s">
        <v>2702</v>
      </c>
      <c r="B190" t="s">
        <v>2490</v>
      </c>
      <c r="C190" t="s">
        <v>2491</v>
      </c>
      <c r="D190" t="s">
        <v>475</v>
      </c>
      <c r="E190" t="s">
        <v>1634</v>
      </c>
      <c r="F190" s="8">
        <v>46049</v>
      </c>
      <c r="G190" s="8">
        <v>46077</v>
      </c>
      <c r="H190" t="s">
        <v>2506</v>
      </c>
      <c r="I190" t="s">
        <v>2513</v>
      </c>
      <c r="J190">
        <v>93</v>
      </c>
      <c r="K190" t="s">
        <v>2500</v>
      </c>
    </row>
    <row r="191" spans="1:11" x14ac:dyDescent="0.35">
      <c r="A191" t="s">
        <v>2703</v>
      </c>
      <c r="B191" t="s">
        <v>2490</v>
      </c>
      <c r="C191" t="s">
        <v>2491</v>
      </c>
      <c r="E191" t="s">
        <v>1392</v>
      </c>
      <c r="F191" s="8">
        <v>46095</v>
      </c>
      <c r="G191" s="8">
        <v>46163</v>
      </c>
      <c r="H191" t="s">
        <v>2506</v>
      </c>
      <c r="I191" t="s">
        <v>2513</v>
      </c>
      <c r="J191">
        <v>7</v>
      </c>
      <c r="K191" t="s">
        <v>2515</v>
      </c>
    </row>
    <row r="192" spans="1:11" x14ac:dyDescent="0.35">
      <c r="A192" t="s">
        <v>2704</v>
      </c>
      <c r="B192" t="s">
        <v>2508</v>
      </c>
      <c r="C192" t="s">
        <v>2522</v>
      </c>
      <c r="D192" t="s">
        <v>475</v>
      </c>
      <c r="E192" t="s">
        <v>2382</v>
      </c>
      <c r="F192" s="8">
        <v>46153</v>
      </c>
      <c r="G192" s="8">
        <v>46173</v>
      </c>
      <c r="H192" t="s">
        <v>2498</v>
      </c>
      <c r="I192" t="s">
        <v>2513</v>
      </c>
      <c r="J192">
        <v>0</v>
      </c>
      <c r="K192" t="s">
        <v>2494</v>
      </c>
    </row>
    <row r="193" spans="1:11" x14ac:dyDescent="0.35">
      <c r="A193" t="s">
        <v>2705</v>
      </c>
      <c r="B193" t="s">
        <v>2496</v>
      </c>
      <c r="C193" t="s">
        <v>2491</v>
      </c>
      <c r="E193" t="s">
        <v>2142</v>
      </c>
      <c r="F193" s="8">
        <v>46027</v>
      </c>
      <c r="G193" s="8">
        <v>46046</v>
      </c>
      <c r="H193" t="s">
        <v>2498</v>
      </c>
      <c r="I193" t="s">
        <v>2513</v>
      </c>
      <c r="J193">
        <v>124</v>
      </c>
      <c r="K193" t="s">
        <v>2494</v>
      </c>
    </row>
    <row r="194" spans="1:11" x14ac:dyDescent="0.35">
      <c r="A194" t="s">
        <v>2706</v>
      </c>
      <c r="B194" t="s">
        <v>2511</v>
      </c>
      <c r="C194" t="s">
        <v>2522</v>
      </c>
      <c r="D194" t="s">
        <v>551</v>
      </c>
      <c r="E194" t="s">
        <v>1600</v>
      </c>
      <c r="F194" s="8">
        <v>46099</v>
      </c>
      <c r="G194" s="8">
        <v>46139</v>
      </c>
      <c r="H194" t="s">
        <v>2506</v>
      </c>
      <c r="I194" t="s">
        <v>2493</v>
      </c>
      <c r="J194">
        <v>31</v>
      </c>
      <c r="K194" t="s">
        <v>2500</v>
      </c>
    </row>
    <row r="195" spans="1:11" x14ac:dyDescent="0.35">
      <c r="A195" t="s">
        <v>2707</v>
      </c>
      <c r="B195" t="s">
        <v>2511</v>
      </c>
      <c r="C195" t="s">
        <v>2503</v>
      </c>
      <c r="E195" t="s">
        <v>1912</v>
      </c>
      <c r="F195" s="8">
        <v>46103</v>
      </c>
      <c r="G195" s="8">
        <v>46134</v>
      </c>
      <c r="H195" t="s">
        <v>2506</v>
      </c>
      <c r="I195" t="s">
        <v>2493</v>
      </c>
      <c r="J195">
        <v>36</v>
      </c>
      <c r="K195" t="s">
        <v>2504</v>
      </c>
    </row>
    <row r="196" spans="1:11" x14ac:dyDescent="0.35">
      <c r="A196" t="s">
        <v>2708</v>
      </c>
      <c r="B196" t="s">
        <v>2502</v>
      </c>
      <c r="C196" t="s">
        <v>2497</v>
      </c>
      <c r="D196" t="s">
        <v>519</v>
      </c>
      <c r="E196" t="s">
        <v>1590</v>
      </c>
      <c r="F196" s="8">
        <v>46131</v>
      </c>
      <c r="G196" s="8">
        <v>46136</v>
      </c>
      <c r="H196" t="s">
        <v>2506</v>
      </c>
      <c r="I196" t="s">
        <v>2513</v>
      </c>
      <c r="J196">
        <v>34</v>
      </c>
      <c r="K196" t="s">
        <v>2515</v>
      </c>
    </row>
    <row r="197" spans="1:11" x14ac:dyDescent="0.35">
      <c r="A197" t="s">
        <v>2709</v>
      </c>
      <c r="B197" t="s">
        <v>2496</v>
      </c>
      <c r="C197" t="s">
        <v>2522</v>
      </c>
      <c r="D197" t="s">
        <v>158</v>
      </c>
      <c r="E197" t="s">
        <v>929</v>
      </c>
      <c r="F197" s="8">
        <v>46070</v>
      </c>
      <c r="G197" s="8">
        <v>46140</v>
      </c>
      <c r="H197" t="s">
        <v>2492</v>
      </c>
      <c r="I197" t="s">
        <v>2513</v>
      </c>
      <c r="J197">
        <v>30</v>
      </c>
      <c r="K197" t="s">
        <v>2517</v>
      </c>
    </row>
    <row r="198" spans="1:11" x14ac:dyDescent="0.35">
      <c r="A198" t="s">
        <v>2710</v>
      </c>
      <c r="B198" t="s">
        <v>2508</v>
      </c>
      <c r="C198" t="s">
        <v>2497</v>
      </c>
      <c r="D198" t="s">
        <v>369</v>
      </c>
      <c r="E198" t="s">
        <v>785</v>
      </c>
      <c r="F198" s="8">
        <v>46072</v>
      </c>
      <c r="G198" s="8">
        <v>46161</v>
      </c>
      <c r="H198" t="s">
        <v>2506</v>
      </c>
      <c r="I198" t="s">
        <v>2493</v>
      </c>
      <c r="J198">
        <v>9</v>
      </c>
      <c r="K198" t="s">
        <v>2504</v>
      </c>
    </row>
    <row r="199" spans="1:11" x14ac:dyDescent="0.35">
      <c r="A199" t="s">
        <v>2711</v>
      </c>
      <c r="B199" t="s">
        <v>2508</v>
      </c>
      <c r="C199" t="s">
        <v>2512</v>
      </c>
      <c r="E199" t="s">
        <v>2149</v>
      </c>
      <c r="F199" s="8">
        <v>46087</v>
      </c>
      <c r="G199" s="8">
        <v>46114</v>
      </c>
      <c r="H199" t="s">
        <v>2498</v>
      </c>
      <c r="I199" t="s">
        <v>2513</v>
      </c>
      <c r="J199">
        <v>56</v>
      </c>
      <c r="K199" t="s">
        <v>2500</v>
      </c>
    </row>
    <row r="200" spans="1:11" x14ac:dyDescent="0.35">
      <c r="A200" t="s">
        <v>2712</v>
      </c>
      <c r="B200" t="s">
        <v>2525</v>
      </c>
      <c r="C200" t="s">
        <v>2497</v>
      </c>
      <c r="D200" t="s">
        <v>152</v>
      </c>
      <c r="E200" t="s">
        <v>2053</v>
      </c>
      <c r="F200" s="8">
        <v>46047</v>
      </c>
      <c r="G200" s="8">
        <v>46134</v>
      </c>
      <c r="H200" t="s">
        <v>2506</v>
      </c>
      <c r="I200" t="s">
        <v>2493</v>
      </c>
      <c r="J200">
        <v>36</v>
      </c>
      <c r="K200" t="s">
        <v>2517</v>
      </c>
    </row>
    <row r="201" spans="1:11" x14ac:dyDescent="0.35">
      <c r="A201" t="s">
        <v>2713</v>
      </c>
      <c r="B201" t="s">
        <v>2511</v>
      </c>
      <c r="C201" t="s">
        <v>2503</v>
      </c>
      <c r="D201" t="s">
        <v>530</v>
      </c>
      <c r="E201" t="s">
        <v>1634</v>
      </c>
      <c r="F201" s="8">
        <v>46118</v>
      </c>
      <c r="G201" s="8">
        <v>46135</v>
      </c>
      <c r="H201" t="s">
        <v>2506</v>
      </c>
      <c r="I201" t="s">
        <v>2499</v>
      </c>
      <c r="J201">
        <v>35</v>
      </c>
      <c r="K201" t="s">
        <v>2517</v>
      </c>
    </row>
    <row r="202" spans="1:11" x14ac:dyDescent="0.35">
      <c r="A202" t="s">
        <v>2714</v>
      </c>
      <c r="B202" t="s">
        <v>2502</v>
      </c>
      <c r="C202" t="s">
        <v>2497</v>
      </c>
      <c r="D202" t="s">
        <v>48</v>
      </c>
      <c r="E202" t="s">
        <v>2368</v>
      </c>
      <c r="F202" s="8">
        <v>46087</v>
      </c>
      <c r="G202" s="8">
        <v>46144</v>
      </c>
      <c r="H202" t="s">
        <v>2506</v>
      </c>
      <c r="I202" t="s">
        <v>2499</v>
      </c>
      <c r="J202">
        <v>26</v>
      </c>
      <c r="K202" t="s">
        <v>2515</v>
      </c>
    </row>
    <row r="203" spans="1:11" x14ac:dyDescent="0.35">
      <c r="A203" t="s">
        <v>2715</v>
      </c>
      <c r="B203" t="s">
        <v>2525</v>
      </c>
      <c r="C203" t="s">
        <v>2491</v>
      </c>
      <c r="D203" t="s">
        <v>212</v>
      </c>
      <c r="E203" t="s">
        <v>1190</v>
      </c>
      <c r="F203" s="8">
        <v>46039</v>
      </c>
      <c r="G203" s="8">
        <v>46130</v>
      </c>
      <c r="H203" t="s">
        <v>2506</v>
      </c>
      <c r="I203" t="s">
        <v>2509</v>
      </c>
      <c r="J203">
        <v>0</v>
      </c>
    </row>
    <row r="204" spans="1:11" x14ac:dyDescent="0.35">
      <c r="A204" t="s">
        <v>2716</v>
      </c>
      <c r="B204" t="s">
        <v>2496</v>
      </c>
      <c r="C204" t="s">
        <v>2503</v>
      </c>
      <c r="D204" t="s">
        <v>388</v>
      </c>
      <c r="E204" t="s">
        <v>2356</v>
      </c>
      <c r="F204" s="8">
        <v>46130</v>
      </c>
      <c r="G204" s="8">
        <v>46140</v>
      </c>
      <c r="H204" t="s">
        <v>2498</v>
      </c>
      <c r="I204" t="s">
        <v>2513</v>
      </c>
      <c r="J204">
        <v>30</v>
      </c>
      <c r="K204" t="s">
        <v>2520</v>
      </c>
    </row>
    <row r="205" spans="1:11" x14ac:dyDescent="0.35">
      <c r="A205" t="s">
        <v>2717</v>
      </c>
      <c r="B205" t="s">
        <v>2496</v>
      </c>
      <c r="C205" t="s">
        <v>2519</v>
      </c>
      <c r="D205" t="s">
        <v>275</v>
      </c>
      <c r="E205" t="s">
        <v>2167</v>
      </c>
      <c r="F205" s="8">
        <v>46152</v>
      </c>
      <c r="G205" s="8">
        <v>46154</v>
      </c>
      <c r="H205" t="s">
        <v>2506</v>
      </c>
      <c r="I205" t="s">
        <v>2513</v>
      </c>
      <c r="J205">
        <v>16</v>
      </c>
      <c r="K205" t="s">
        <v>2500</v>
      </c>
    </row>
    <row r="206" spans="1:11" x14ac:dyDescent="0.35">
      <c r="A206" t="s">
        <v>2718</v>
      </c>
      <c r="B206" t="s">
        <v>2508</v>
      </c>
      <c r="C206" t="s">
        <v>2522</v>
      </c>
      <c r="D206" t="s">
        <v>196</v>
      </c>
      <c r="E206" t="s">
        <v>1146</v>
      </c>
      <c r="F206" s="8">
        <v>46078</v>
      </c>
      <c r="G206" s="8">
        <v>46166</v>
      </c>
      <c r="H206" t="s">
        <v>2506</v>
      </c>
      <c r="I206" t="s">
        <v>2493</v>
      </c>
      <c r="J206">
        <v>4</v>
      </c>
      <c r="K206" t="s">
        <v>2504</v>
      </c>
    </row>
    <row r="207" spans="1:11" x14ac:dyDescent="0.35">
      <c r="A207" t="s">
        <v>2719</v>
      </c>
      <c r="B207" t="s">
        <v>2502</v>
      </c>
      <c r="C207" t="s">
        <v>2497</v>
      </c>
      <c r="D207" t="s">
        <v>351</v>
      </c>
      <c r="E207" t="s">
        <v>747</v>
      </c>
      <c r="F207" s="8">
        <v>46039</v>
      </c>
      <c r="G207" s="8">
        <v>46056</v>
      </c>
      <c r="H207" t="s">
        <v>2506</v>
      </c>
      <c r="I207" t="s">
        <v>2499</v>
      </c>
      <c r="J207">
        <v>114</v>
      </c>
      <c r="K207" t="s">
        <v>2520</v>
      </c>
    </row>
    <row r="208" spans="1:11" x14ac:dyDescent="0.35">
      <c r="A208" t="s">
        <v>2720</v>
      </c>
      <c r="B208" t="s">
        <v>2502</v>
      </c>
      <c r="C208" t="s">
        <v>2519</v>
      </c>
      <c r="E208" t="s">
        <v>717</v>
      </c>
      <c r="F208" s="8">
        <v>46107</v>
      </c>
      <c r="G208" s="8">
        <v>46114</v>
      </c>
      <c r="H208" t="s">
        <v>2506</v>
      </c>
      <c r="I208" t="s">
        <v>2513</v>
      </c>
      <c r="J208">
        <v>56</v>
      </c>
      <c r="K208" t="s">
        <v>2500</v>
      </c>
    </row>
    <row r="209" spans="1:11" x14ac:dyDescent="0.35">
      <c r="A209" t="s">
        <v>2721</v>
      </c>
      <c r="B209" t="s">
        <v>2496</v>
      </c>
      <c r="C209" t="s">
        <v>2497</v>
      </c>
      <c r="D209" t="s">
        <v>165</v>
      </c>
      <c r="E209" t="s">
        <v>2338</v>
      </c>
      <c r="F209" s="8">
        <v>46058</v>
      </c>
      <c r="G209" s="8">
        <v>46079</v>
      </c>
      <c r="H209" t="s">
        <v>2492</v>
      </c>
      <c r="I209" t="s">
        <v>2499</v>
      </c>
      <c r="J209">
        <v>91</v>
      </c>
      <c r="K209" t="s">
        <v>2515</v>
      </c>
    </row>
    <row r="210" spans="1:11" x14ac:dyDescent="0.35">
      <c r="A210" t="s">
        <v>2722</v>
      </c>
      <c r="B210" t="s">
        <v>2525</v>
      </c>
      <c r="C210" t="s">
        <v>2491</v>
      </c>
      <c r="D210" t="s">
        <v>48</v>
      </c>
      <c r="E210" t="s">
        <v>1806</v>
      </c>
      <c r="F210" s="8">
        <v>46081</v>
      </c>
      <c r="G210" s="8">
        <v>46154</v>
      </c>
      <c r="H210" t="s">
        <v>2506</v>
      </c>
      <c r="I210" t="s">
        <v>2513</v>
      </c>
      <c r="J210">
        <v>16</v>
      </c>
      <c r="K210" t="s">
        <v>2500</v>
      </c>
    </row>
    <row r="211" spans="1:11" x14ac:dyDescent="0.35">
      <c r="A211" t="s">
        <v>2723</v>
      </c>
      <c r="B211" t="s">
        <v>2490</v>
      </c>
      <c r="C211" t="s">
        <v>2503</v>
      </c>
      <c r="E211" t="s">
        <v>733</v>
      </c>
      <c r="F211" s="8">
        <v>46161</v>
      </c>
      <c r="G211" s="8">
        <v>46170</v>
      </c>
      <c r="H211" t="s">
        <v>2506</v>
      </c>
      <c r="I211" t="s">
        <v>2513</v>
      </c>
      <c r="J211">
        <v>0</v>
      </c>
      <c r="K211" t="s">
        <v>2515</v>
      </c>
    </row>
    <row r="212" spans="1:11" x14ac:dyDescent="0.35">
      <c r="A212" t="s">
        <v>2724</v>
      </c>
      <c r="B212" t="s">
        <v>2508</v>
      </c>
      <c r="C212" t="s">
        <v>2491</v>
      </c>
      <c r="D212" t="s">
        <v>158</v>
      </c>
      <c r="E212" t="s">
        <v>2447</v>
      </c>
      <c r="F212" s="8">
        <v>46064</v>
      </c>
      <c r="G212" s="8">
        <v>46092</v>
      </c>
      <c r="H212" t="s">
        <v>2506</v>
      </c>
      <c r="I212" t="s">
        <v>2513</v>
      </c>
      <c r="J212">
        <v>78</v>
      </c>
      <c r="K212" t="s">
        <v>2504</v>
      </c>
    </row>
    <row r="213" spans="1:11" x14ac:dyDescent="0.35">
      <c r="A213" t="s">
        <v>2725</v>
      </c>
      <c r="B213" t="s">
        <v>2508</v>
      </c>
      <c r="C213" t="s">
        <v>2503</v>
      </c>
      <c r="D213" t="s">
        <v>397</v>
      </c>
      <c r="E213" t="s">
        <v>1468</v>
      </c>
      <c r="F213" s="8">
        <v>46072</v>
      </c>
      <c r="G213" s="8">
        <v>46166</v>
      </c>
      <c r="H213" t="s">
        <v>2506</v>
      </c>
      <c r="I213" t="s">
        <v>2513</v>
      </c>
      <c r="J213">
        <v>4</v>
      </c>
      <c r="K213" t="s">
        <v>2494</v>
      </c>
    </row>
    <row r="214" spans="1:11" x14ac:dyDescent="0.35">
      <c r="A214" t="s">
        <v>2726</v>
      </c>
      <c r="B214" t="s">
        <v>2525</v>
      </c>
      <c r="C214" t="s">
        <v>2522</v>
      </c>
      <c r="D214" t="s">
        <v>94</v>
      </c>
      <c r="E214" t="s">
        <v>1294</v>
      </c>
      <c r="F214" s="8">
        <v>46120</v>
      </c>
      <c r="G214" s="8">
        <v>46165</v>
      </c>
      <c r="H214" t="s">
        <v>2506</v>
      </c>
      <c r="I214" t="s">
        <v>2509</v>
      </c>
      <c r="J214">
        <v>0</v>
      </c>
    </row>
    <row r="215" spans="1:11" x14ac:dyDescent="0.35">
      <c r="A215" t="s">
        <v>2727</v>
      </c>
      <c r="B215" t="s">
        <v>2508</v>
      </c>
      <c r="C215" t="s">
        <v>2497</v>
      </c>
      <c r="D215" t="s">
        <v>72</v>
      </c>
      <c r="E215" t="s">
        <v>2443</v>
      </c>
      <c r="F215" s="8">
        <v>46062</v>
      </c>
      <c r="G215" s="8">
        <v>46160</v>
      </c>
      <c r="H215" t="s">
        <v>2498</v>
      </c>
      <c r="I215" t="s">
        <v>2499</v>
      </c>
      <c r="J215">
        <v>10</v>
      </c>
      <c r="K215" t="s">
        <v>2500</v>
      </c>
    </row>
    <row r="216" spans="1:11" x14ac:dyDescent="0.35">
      <c r="A216" t="s">
        <v>2728</v>
      </c>
      <c r="B216" t="s">
        <v>2511</v>
      </c>
      <c r="C216" t="s">
        <v>2512</v>
      </c>
      <c r="E216" t="s">
        <v>819</v>
      </c>
      <c r="F216" s="8">
        <v>46057</v>
      </c>
      <c r="G216" s="8">
        <v>46074</v>
      </c>
      <c r="H216" t="s">
        <v>2506</v>
      </c>
      <c r="I216" t="s">
        <v>2499</v>
      </c>
      <c r="J216">
        <v>96</v>
      </c>
      <c r="K216" t="s">
        <v>2504</v>
      </c>
    </row>
    <row r="217" spans="1:11" x14ac:dyDescent="0.35">
      <c r="A217" t="s">
        <v>2729</v>
      </c>
      <c r="B217" t="s">
        <v>2502</v>
      </c>
      <c r="C217" t="s">
        <v>2522</v>
      </c>
      <c r="D217" t="s">
        <v>563</v>
      </c>
      <c r="E217" t="s">
        <v>1860</v>
      </c>
      <c r="F217" s="8">
        <v>46141</v>
      </c>
      <c r="G217" s="8">
        <v>46153</v>
      </c>
      <c r="H217" t="s">
        <v>2492</v>
      </c>
      <c r="I217" t="s">
        <v>2499</v>
      </c>
      <c r="J217">
        <v>17</v>
      </c>
      <c r="K217" t="s">
        <v>2500</v>
      </c>
    </row>
    <row r="218" spans="1:11" x14ac:dyDescent="0.35">
      <c r="A218" t="s">
        <v>2730</v>
      </c>
      <c r="B218" t="s">
        <v>2511</v>
      </c>
      <c r="C218" t="s">
        <v>2522</v>
      </c>
      <c r="D218" t="s">
        <v>440</v>
      </c>
      <c r="E218" t="s">
        <v>751</v>
      </c>
      <c r="F218" s="8">
        <v>46137</v>
      </c>
      <c r="G218" s="8">
        <v>46160</v>
      </c>
      <c r="H218" t="s">
        <v>2506</v>
      </c>
      <c r="I218" t="s">
        <v>2499</v>
      </c>
      <c r="J218">
        <v>10</v>
      </c>
      <c r="K218" t="s">
        <v>2494</v>
      </c>
    </row>
    <row r="219" spans="1:11" x14ac:dyDescent="0.35">
      <c r="A219" t="s">
        <v>2731</v>
      </c>
      <c r="B219" t="s">
        <v>2502</v>
      </c>
      <c r="C219" t="s">
        <v>2491</v>
      </c>
      <c r="D219" t="s">
        <v>333</v>
      </c>
      <c r="E219" t="s">
        <v>1312</v>
      </c>
      <c r="F219" s="8">
        <v>46081</v>
      </c>
      <c r="G219" s="8">
        <v>46103</v>
      </c>
      <c r="H219" t="s">
        <v>2506</v>
      </c>
      <c r="I219" t="s">
        <v>2509</v>
      </c>
      <c r="J219">
        <v>0</v>
      </c>
    </row>
    <row r="220" spans="1:11" x14ac:dyDescent="0.35">
      <c r="A220" t="s">
        <v>2732</v>
      </c>
      <c r="B220" t="s">
        <v>2490</v>
      </c>
      <c r="C220" t="s">
        <v>2522</v>
      </c>
      <c r="D220" t="s">
        <v>65</v>
      </c>
      <c r="E220" t="s">
        <v>1424</v>
      </c>
      <c r="F220" s="8">
        <v>46091</v>
      </c>
      <c r="G220" s="8">
        <v>46117</v>
      </c>
      <c r="H220" t="s">
        <v>2506</v>
      </c>
      <c r="I220" t="s">
        <v>2499</v>
      </c>
      <c r="J220">
        <v>53</v>
      </c>
      <c r="K220" t="s">
        <v>2494</v>
      </c>
    </row>
    <row r="221" spans="1:11" x14ac:dyDescent="0.35">
      <c r="A221" t="s">
        <v>2733</v>
      </c>
      <c r="B221" t="s">
        <v>2525</v>
      </c>
      <c r="C221" t="s">
        <v>2522</v>
      </c>
      <c r="E221" t="s">
        <v>582</v>
      </c>
      <c r="F221" s="8">
        <v>46113</v>
      </c>
      <c r="G221" s="8">
        <v>46143</v>
      </c>
      <c r="H221" t="s">
        <v>2498</v>
      </c>
      <c r="I221" t="s">
        <v>2499</v>
      </c>
      <c r="J221">
        <v>27</v>
      </c>
      <c r="K221" t="s">
        <v>2500</v>
      </c>
    </row>
    <row r="222" spans="1:11" x14ac:dyDescent="0.35">
      <c r="A222" t="s">
        <v>2734</v>
      </c>
      <c r="B222" t="s">
        <v>2490</v>
      </c>
      <c r="C222" t="s">
        <v>2512</v>
      </c>
      <c r="D222" t="s">
        <v>298</v>
      </c>
      <c r="E222" t="s">
        <v>589</v>
      </c>
      <c r="F222" s="8">
        <v>46144</v>
      </c>
      <c r="G222" s="8">
        <v>46167</v>
      </c>
      <c r="H222" t="s">
        <v>2506</v>
      </c>
      <c r="I222" t="s">
        <v>2499</v>
      </c>
      <c r="J222">
        <v>3</v>
      </c>
      <c r="K222" t="s">
        <v>2520</v>
      </c>
    </row>
    <row r="223" spans="1:11" x14ac:dyDescent="0.35">
      <c r="A223" t="s">
        <v>2735</v>
      </c>
      <c r="B223" t="s">
        <v>2502</v>
      </c>
      <c r="C223" t="s">
        <v>2512</v>
      </c>
      <c r="D223" t="s">
        <v>255</v>
      </c>
      <c r="E223" t="s">
        <v>2197</v>
      </c>
      <c r="F223" s="8">
        <v>46084</v>
      </c>
      <c r="G223" s="8">
        <v>46114</v>
      </c>
      <c r="H223" t="s">
        <v>2506</v>
      </c>
      <c r="I223" t="s">
        <v>2493</v>
      </c>
      <c r="J223">
        <v>56</v>
      </c>
      <c r="K223" t="s">
        <v>2520</v>
      </c>
    </row>
    <row r="224" spans="1:11" x14ac:dyDescent="0.35">
      <c r="A224" t="s">
        <v>2736</v>
      </c>
      <c r="B224" t="s">
        <v>2490</v>
      </c>
      <c r="C224" t="s">
        <v>2519</v>
      </c>
      <c r="D224" t="s">
        <v>386</v>
      </c>
      <c r="E224" t="s">
        <v>1996</v>
      </c>
      <c r="F224" s="8">
        <v>46053</v>
      </c>
      <c r="G224" s="8">
        <v>46074</v>
      </c>
      <c r="H224" t="s">
        <v>2492</v>
      </c>
      <c r="I224" t="s">
        <v>2513</v>
      </c>
      <c r="J224">
        <v>96</v>
      </c>
      <c r="K224" t="s">
        <v>2494</v>
      </c>
    </row>
    <row r="225" spans="1:11" x14ac:dyDescent="0.35">
      <c r="A225" t="s">
        <v>2737</v>
      </c>
      <c r="B225" t="s">
        <v>2508</v>
      </c>
      <c r="C225" t="s">
        <v>2491</v>
      </c>
      <c r="E225" t="s">
        <v>1228</v>
      </c>
      <c r="F225" s="8">
        <v>46147</v>
      </c>
      <c r="G225" s="8">
        <v>46146</v>
      </c>
      <c r="H225" t="s">
        <v>2492</v>
      </c>
      <c r="I225" t="s">
        <v>2493</v>
      </c>
      <c r="J225">
        <v>24</v>
      </c>
      <c r="K225" t="s">
        <v>2504</v>
      </c>
    </row>
    <row r="226" spans="1:11" x14ac:dyDescent="0.35">
      <c r="A226" t="s">
        <v>2738</v>
      </c>
      <c r="B226" t="s">
        <v>2511</v>
      </c>
      <c r="C226" t="s">
        <v>2491</v>
      </c>
      <c r="E226" t="s">
        <v>601</v>
      </c>
      <c r="F226" s="8">
        <v>46105</v>
      </c>
      <c r="G226" s="8">
        <v>46119</v>
      </c>
      <c r="H226" t="s">
        <v>2506</v>
      </c>
      <c r="I226" t="s">
        <v>2513</v>
      </c>
      <c r="J226">
        <v>51</v>
      </c>
      <c r="K226" t="s">
        <v>2515</v>
      </c>
    </row>
    <row r="227" spans="1:11" x14ac:dyDescent="0.35">
      <c r="A227" t="s">
        <v>2739</v>
      </c>
      <c r="B227" t="s">
        <v>2525</v>
      </c>
      <c r="C227" t="s">
        <v>2522</v>
      </c>
      <c r="D227" t="s">
        <v>301</v>
      </c>
      <c r="E227" t="s">
        <v>849</v>
      </c>
      <c r="F227" s="8">
        <v>46039</v>
      </c>
      <c r="G227" s="8">
        <v>46048</v>
      </c>
      <c r="H227" t="s">
        <v>2492</v>
      </c>
      <c r="I227" t="s">
        <v>2499</v>
      </c>
      <c r="J227">
        <v>122</v>
      </c>
      <c r="K227" t="s">
        <v>2515</v>
      </c>
    </row>
    <row r="228" spans="1:11" x14ac:dyDescent="0.35">
      <c r="A228" t="s">
        <v>2740</v>
      </c>
      <c r="B228" t="s">
        <v>2496</v>
      </c>
      <c r="C228" t="s">
        <v>2491</v>
      </c>
      <c r="D228" t="s">
        <v>252</v>
      </c>
      <c r="E228" t="s">
        <v>1560</v>
      </c>
      <c r="F228" s="8">
        <v>46060</v>
      </c>
      <c r="G228" s="8">
        <v>46152</v>
      </c>
      <c r="H228" t="s">
        <v>2498</v>
      </c>
      <c r="I228" t="s">
        <v>2499</v>
      </c>
      <c r="J228">
        <v>18</v>
      </c>
      <c r="K228" t="s">
        <v>2494</v>
      </c>
    </row>
    <row r="229" spans="1:11" x14ac:dyDescent="0.35">
      <c r="A229" t="s">
        <v>2741</v>
      </c>
      <c r="B229" t="s">
        <v>2502</v>
      </c>
      <c r="C229" t="s">
        <v>2522</v>
      </c>
      <c r="E229" t="s">
        <v>1634</v>
      </c>
      <c r="F229" s="8">
        <v>46028</v>
      </c>
      <c r="G229" s="8">
        <v>46041</v>
      </c>
      <c r="H229" t="s">
        <v>2492</v>
      </c>
      <c r="I229" t="s">
        <v>2493</v>
      </c>
      <c r="J229">
        <v>129</v>
      </c>
      <c r="K229" t="s">
        <v>2504</v>
      </c>
    </row>
    <row r="230" spans="1:11" x14ac:dyDescent="0.35">
      <c r="A230" t="s">
        <v>2742</v>
      </c>
      <c r="B230" t="s">
        <v>2508</v>
      </c>
      <c r="C230" t="s">
        <v>2497</v>
      </c>
      <c r="D230" t="s">
        <v>325</v>
      </c>
      <c r="E230" t="s">
        <v>1158</v>
      </c>
      <c r="F230" s="8">
        <v>46087</v>
      </c>
      <c r="G230" s="8">
        <v>46105</v>
      </c>
      <c r="H230" t="s">
        <v>2498</v>
      </c>
      <c r="I230" t="s">
        <v>2499</v>
      </c>
      <c r="J230">
        <v>65</v>
      </c>
      <c r="K230" t="s">
        <v>2504</v>
      </c>
    </row>
    <row r="231" spans="1:11" x14ac:dyDescent="0.35">
      <c r="A231" t="s">
        <v>2743</v>
      </c>
      <c r="B231" t="s">
        <v>2511</v>
      </c>
      <c r="C231" t="s">
        <v>2519</v>
      </c>
      <c r="D231" t="s">
        <v>351</v>
      </c>
      <c r="E231" t="s">
        <v>1925</v>
      </c>
      <c r="F231" s="8">
        <v>46141</v>
      </c>
      <c r="G231" s="8">
        <v>46170</v>
      </c>
      <c r="H231" t="s">
        <v>2498</v>
      </c>
      <c r="I231" t="s">
        <v>2513</v>
      </c>
      <c r="J231">
        <v>0</v>
      </c>
      <c r="K231" t="s">
        <v>2500</v>
      </c>
    </row>
    <row r="232" spans="1:11" x14ac:dyDescent="0.35">
      <c r="A232" t="s">
        <v>2744</v>
      </c>
      <c r="B232" t="s">
        <v>2508</v>
      </c>
      <c r="C232" t="s">
        <v>2522</v>
      </c>
      <c r="D232" t="s">
        <v>388</v>
      </c>
      <c r="E232" t="s">
        <v>1300</v>
      </c>
      <c r="F232" s="8">
        <v>46038</v>
      </c>
      <c r="G232" s="8">
        <v>46063</v>
      </c>
      <c r="H232" t="s">
        <v>2506</v>
      </c>
      <c r="I232" t="s">
        <v>2493</v>
      </c>
      <c r="J232">
        <v>107</v>
      </c>
      <c r="K232" t="s">
        <v>2515</v>
      </c>
    </row>
    <row r="233" spans="1:11" x14ac:dyDescent="0.35">
      <c r="A233" t="s">
        <v>2745</v>
      </c>
      <c r="B233" t="s">
        <v>2508</v>
      </c>
      <c r="C233" t="s">
        <v>2519</v>
      </c>
      <c r="D233" t="s">
        <v>328</v>
      </c>
      <c r="E233" t="s">
        <v>1410</v>
      </c>
      <c r="F233" s="8">
        <v>46042</v>
      </c>
      <c r="G233" s="8">
        <v>46066</v>
      </c>
      <c r="H233" t="s">
        <v>2498</v>
      </c>
      <c r="I233" t="s">
        <v>2513</v>
      </c>
      <c r="J233">
        <v>104</v>
      </c>
      <c r="K233" t="s">
        <v>2504</v>
      </c>
    </row>
    <row r="234" spans="1:11" x14ac:dyDescent="0.35">
      <c r="A234" t="s">
        <v>2746</v>
      </c>
      <c r="B234" t="s">
        <v>2502</v>
      </c>
      <c r="C234" t="s">
        <v>2522</v>
      </c>
      <c r="D234" t="s">
        <v>527</v>
      </c>
      <c r="E234" t="s">
        <v>2328</v>
      </c>
      <c r="F234" s="8">
        <v>46104</v>
      </c>
      <c r="G234" s="8">
        <v>46131</v>
      </c>
      <c r="H234" t="s">
        <v>2506</v>
      </c>
      <c r="I234" t="s">
        <v>2499</v>
      </c>
      <c r="J234">
        <v>39</v>
      </c>
      <c r="K234" t="s">
        <v>2504</v>
      </c>
    </row>
    <row r="235" spans="1:11" x14ac:dyDescent="0.35">
      <c r="A235" t="s">
        <v>2747</v>
      </c>
      <c r="B235" t="s">
        <v>2508</v>
      </c>
      <c r="C235" t="s">
        <v>2503</v>
      </c>
      <c r="D235" t="s">
        <v>83</v>
      </c>
      <c r="E235" t="s">
        <v>2267</v>
      </c>
      <c r="F235" s="8">
        <v>46040</v>
      </c>
      <c r="G235" s="8">
        <v>46139</v>
      </c>
      <c r="H235" t="s">
        <v>2506</v>
      </c>
      <c r="I235" t="s">
        <v>2513</v>
      </c>
      <c r="J235">
        <v>31</v>
      </c>
      <c r="K235" t="s">
        <v>2520</v>
      </c>
    </row>
    <row r="236" spans="1:11" x14ac:dyDescent="0.35">
      <c r="A236" t="s">
        <v>2748</v>
      </c>
      <c r="B236" t="s">
        <v>2511</v>
      </c>
      <c r="C236" t="s">
        <v>2503</v>
      </c>
      <c r="E236" t="s">
        <v>1136</v>
      </c>
      <c r="F236" s="8">
        <v>46068</v>
      </c>
      <c r="G236" s="8">
        <v>46096</v>
      </c>
      <c r="H236" t="s">
        <v>2506</v>
      </c>
      <c r="I236" t="s">
        <v>2493</v>
      </c>
      <c r="J236">
        <v>74</v>
      </c>
      <c r="K236" t="s">
        <v>2515</v>
      </c>
    </row>
    <row r="237" spans="1:11" x14ac:dyDescent="0.35">
      <c r="A237" t="s">
        <v>2749</v>
      </c>
      <c r="B237" t="s">
        <v>2502</v>
      </c>
      <c r="C237" t="s">
        <v>2512</v>
      </c>
      <c r="D237" t="s">
        <v>278</v>
      </c>
      <c r="E237" t="s">
        <v>2065</v>
      </c>
      <c r="F237" s="8">
        <v>46042</v>
      </c>
      <c r="G237" s="8">
        <v>46151</v>
      </c>
      <c r="H237" t="s">
        <v>2506</v>
      </c>
      <c r="I237" t="s">
        <v>2499</v>
      </c>
      <c r="J237">
        <v>19</v>
      </c>
      <c r="K237" t="s">
        <v>2504</v>
      </c>
    </row>
    <row r="238" spans="1:11" x14ac:dyDescent="0.35">
      <c r="A238" t="s">
        <v>2750</v>
      </c>
      <c r="B238" t="s">
        <v>2502</v>
      </c>
      <c r="C238" t="s">
        <v>2491</v>
      </c>
      <c r="E238" t="s">
        <v>1899</v>
      </c>
      <c r="F238" s="8">
        <v>46077</v>
      </c>
      <c r="G238" s="8">
        <v>46156</v>
      </c>
      <c r="H238" t="s">
        <v>2498</v>
      </c>
      <c r="I238" t="s">
        <v>2499</v>
      </c>
      <c r="J238">
        <v>14</v>
      </c>
      <c r="K238" t="s">
        <v>2517</v>
      </c>
    </row>
    <row r="239" spans="1:11" x14ac:dyDescent="0.35">
      <c r="A239" t="s">
        <v>2751</v>
      </c>
      <c r="B239" t="s">
        <v>2490</v>
      </c>
      <c r="C239" t="s">
        <v>2512</v>
      </c>
      <c r="D239" t="s">
        <v>293</v>
      </c>
      <c r="E239" t="s">
        <v>1659</v>
      </c>
      <c r="F239" s="8">
        <v>46084</v>
      </c>
      <c r="G239" s="8">
        <v>46158</v>
      </c>
      <c r="H239" t="s">
        <v>2498</v>
      </c>
      <c r="I239" t="s">
        <v>2509</v>
      </c>
      <c r="J239">
        <v>0</v>
      </c>
    </row>
    <row r="240" spans="1:11" x14ac:dyDescent="0.35">
      <c r="A240" t="s">
        <v>2752</v>
      </c>
      <c r="B240" t="s">
        <v>2496</v>
      </c>
      <c r="C240" t="s">
        <v>2491</v>
      </c>
      <c r="E240" t="s">
        <v>1618</v>
      </c>
      <c r="F240" s="8">
        <v>46144</v>
      </c>
      <c r="G240" s="8">
        <v>46160</v>
      </c>
      <c r="H240" t="s">
        <v>2506</v>
      </c>
      <c r="I240" t="s">
        <v>2513</v>
      </c>
      <c r="J240">
        <v>10</v>
      </c>
      <c r="K240" t="s">
        <v>2520</v>
      </c>
    </row>
    <row r="241" spans="1:11" x14ac:dyDescent="0.35">
      <c r="A241" t="s">
        <v>2753</v>
      </c>
      <c r="B241" t="s">
        <v>2525</v>
      </c>
      <c r="C241" t="s">
        <v>2491</v>
      </c>
      <c r="E241" t="s">
        <v>1723</v>
      </c>
      <c r="F241" s="8">
        <v>46162</v>
      </c>
      <c r="G241" s="8">
        <v>46141</v>
      </c>
      <c r="H241" t="s">
        <v>2498</v>
      </c>
      <c r="I241" t="s">
        <v>2513</v>
      </c>
      <c r="J241">
        <v>29</v>
      </c>
      <c r="K241" t="s">
        <v>2504</v>
      </c>
    </row>
    <row r="242" spans="1:11" x14ac:dyDescent="0.35">
      <c r="A242" t="s">
        <v>2754</v>
      </c>
      <c r="B242" t="s">
        <v>2511</v>
      </c>
      <c r="C242" t="s">
        <v>2522</v>
      </c>
      <c r="D242" t="s">
        <v>193</v>
      </c>
      <c r="E242" t="s">
        <v>1256</v>
      </c>
      <c r="F242" s="8">
        <v>46092</v>
      </c>
      <c r="G242" s="8">
        <v>46168</v>
      </c>
      <c r="H242" t="s">
        <v>2506</v>
      </c>
      <c r="I242" t="s">
        <v>2499</v>
      </c>
      <c r="J242">
        <v>2</v>
      </c>
      <c r="K242" t="s">
        <v>2494</v>
      </c>
    </row>
    <row r="243" spans="1:11" x14ac:dyDescent="0.35">
      <c r="A243" t="s">
        <v>2755</v>
      </c>
      <c r="B243" t="s">
        <v>2502</v>
      </c>
      <c r="C243" t="s">
        <v>2503</v>
      </c>
      <c r="E243" t="s">
        <v>1838</v>
      </c>
      <c r="F243" s="8">
        <v>46054</v>
      </c>
      <c r="G243" s="8">
        <v>46067</v>
      </c>
      <c r="H243" t="s">
        <v>2492</v>
      </c>
      <c r="I243" t="s">
        <v>2509</v>
      </c>
      <c r="J243">
        <v>0</v>
      </c>
    </row>
    <row r="244" spans="1:11" x14ac:dyDescent="0.35">
      <c r="A244" t="s">
        <v>2756</v>
      </c>
      <c r="B244" t="s">
        <v>2525</v>
      </c>
      <c r="C244" t="s">
        <v>2491</v>
      </c>
      <c r="D244" t="s">
        <v>511</v>
      </c>
      <c r="E244" t="s">
        <v>2079</v>
      </c>
      <c r="F244" s="8">
        <v>46098</v>
      </c>
      <c r="G244" s="8">
        <v>46108</v>
      </c>
      <c r="H244" t="s">
        <v>2506</v>
      </c>
      <c r="I244" t="s">
        <v>2499</v>
      </c>
      <c r="J244">
        <v>62</v>
      </c>
      <c r="K244" t="s">
        <v>2494</v>
      </c>
    </row>
    <row r="245" spans="1:11" x14ac:dyDescent="0.35">
      <c r="A245" t="s">
        <v>2757</v>
      </c>
      <c r="B245" t="s">
        <v>2496</v>
      </c>
      <c r="C245" t="s">
        <v>2497</v>
      </c>
      <c r="D245" t="s">
        <v>466</v>
      </c>
      <c r="E245" t="s">
        <v>1228</v>
      </c>
      <c r="F245" s="8">
        <v>46047</v>
      </c>
      <c r="G245" s="8">
        <v>46077</v>
      </c>
      <c r="H245" t="s">
        <v>2498</v>
      </c>
      <c r="I245" t="s">
        <v>2499</v>
      </c>
      <c r="J245">
        <v>93</v>
      </c>
      <c r="K245" t="s">
        <v>2515</v>
      </c>
    </row>
    <row r="246" spans="1:11" x14ac:dyDescent="0.35">
      <c r="A246" t="s">
        <v>2758</v>
      </c>
      <c r="B246" t="s">
        <v>2490</v>
      </c>
      <c r="C246" t="s">
        <v>2512</v>
      </c>
      <c r="D246" t="s">
        <v>530</v>
      </c>
      <c r="E246" t="s">
        <v>856</v>
      </c>
      <c r="F246" s="8">
        <v>46078</v>
      </c>
      <c r="G246" s="8">
        <v>46133</v>
      </c>
      <c r="H246" t="s">
        <v>2498</v>
      </c>
      <c r="I246" t="s">
        <v>2499</v>
      </c>
      <c r="J246">
        <v>37</v>
      </c>
      <c r="K246" t="s">
        <v>2520</v>
      </c>
    </row>
    <row r="247" spans="1:11" x14ac:dyDescent="0.35">
      <c r="A247" t="s">
        <v>2759</v>
      </c>
      <c r="B247" t="s">
        <v>2490</v>
      </c>
      <c r="C247" t="s">
        <v>2512</v>
      </c>
      <c r="E247" t="s">
        <v>1464</v>
      </c>
      <c r="F247" s="8">
        <v>46130</v>
      </c>
      <c r="G247" s="8">
        <v>46165</v>
      </c>
      <c r="H247" t="s">
        <v>2506</v>
      </c>
      <c r="I247" t="s">
        <v>2499</v>
      </c>
      <c r="J247">
        <v>5</v>
      </c>
      <c r="K247" t="s">
        <v>2504</v>
      </c>
    </row>
    <row r="248" spans="1:11" x14ac:dyDescent="0.35">
      <c r="A248" t="s">
        <v>2760</v>
      </c>
      <c r="B248" t="s">
        <v>2525</v>
      </c>
      <c r="C248" t="s">
        <v>2522</v>
      </c>
      <c r="D248" t="s">
        <v>333</v>
      </c>
      <c r="E248" t="s">
        <v>735</v>
      </c>
      <c r="F248" s="8">
        <v>46091</v>
      </c>
      <c r="G248" s="8">
        <v>46114</v>
      </c>
      <c r="H248" t="s">
        <v>2498</v>
      </c>
      <c r="I248" t="s">
        <v>2499</v>
      </c>
      <c r="J248">
        <v>56</v>
      </c>
      <c r="K248" t="s">
        <v>2520</v>
      </c>
    </row>
    <row r="249" spans="1:11" x14ac:dyDescent="0.35">
      <c r="A249" t="s">
        <v>2761</v>
      </c>
      <c r="B249" t="s">
        <v>2511</v>
      </c>
      <c r="C249" t="s">
        <v>2512</v>
      </c>
      <c r="D249" t="s">
        <v>183</v>
      </c>
      <c r="E249" t="s">
        <v>1448</v>
      </c>
      <c r="F249" s="8">
        <v>46028</v>
      </c>
      <c r="G249" s="8">
        <v>46062</v>
      </c>
      <c r="H249" t="s">
        <v>2506</v>
      </c>
      <c r="I249" t="s">
        <v>2513</v>
      </c>
      <c r="J249">
        <v>108</v>
      </c>
      <c r="K249" t="s">
        <v>2515</v>
      </c>
    </row>
    <row r="250" spans="1:11" x14ac:dyDescent="0.35">
      <c r="A250" t="s">
        <v>2762</v>
      </c>
      <c r="B250" t="s">
        <v>2496</v>
      </c>
      <c r="C250" t="s">
        <v>2503</v>
      </c>
      <c r="D250" t="s">
        <v>83</v>
      </c>
      <c r="E250" t="s">
        <v>879</v>
      </c>
      <c r="F250" s="8">
        <v>46055</v>
      </c>
      <c r="G250" s="8">
        <v>46078</v>
      </c>
      <c r="H250" t="s">
        <v>2492</v>
      </c>
      <c r="I250" t="s">
        <v>2513</v>
      </c>
      <c r="J250">
        <v>92</v>
      </c>
      <c r="K250" t="s">
        <v>2520</v>
      </c>
    </row>
    <row r="251" spans="1:11" x14ac:dyDescent="0.35">
      <c r="A251" t="s">
        <v>2763</v>
      </c>
      <c r="B251" t="s">
        <v>2508</v>
      </c>
      <c r="C251" t="s">
        <v>2519</v>
      </c>
      <c r="E251" t="s">
        <v>1408</v>
      </c>
      <c r="F251" s="8">
        <v>46147</v>
      </c>
      <c r="G251" s="8">
        <v>46149</v>
      </c>
      <c r="H251" t="s">
        <v>2498</v>
      </c>
      <c r="I251" t="s">
        <v>2513</v>
      </c>
      <c r="J251">
        <v>21</v>
      </c>
      <c r="K251" t="s">
        <v>2500</v>
      </c>
    </row>
    <row r="252" spans="1:11" x14ac:dyDescent="0.35">
      <c r="A252" t="s">
        <v>2764</v>
      </c>
      <c r="B252" t="s">
        <v>2490</v>
      </c>
      <c r="C252" t="s">
        <v>2491</v>
      </c>
      <c r="D252" t="s">
        <v>135</v>
      </c>
      <c r="E252" t="s">
        <v>923</v>
      </c>
      <c r="F252" s="8">
        <v>46051</v>
      </c>
      <c r="G252" s="8">
        <v>46071</v>
      </c>
      <c r="H252" t="s">
        <v>2506</v>
      </c>
      <c r="I252" t="s">
        <v>2499</v>
      </c>
      <c r="J252">
        <v>99</v>
      </c>
      <c r="K252" t="s">
        <v>2504</v>
      </c>
    </row>
    <row r="253" spans="1:11" x14ac:dyDescent="0.35">
      <c r="A253" t="s">
        <v>2765</v>
      </c>
      <c r="B253" t="s">
        <v>2502</v>
      </c>
      <c r="C253" t="s">
        <v>2519</v>
      </c>
      <c r="D253" t="s">
        <v>243</v>
      </c>
      <c r="E253" t="s">
        <v>1034</v>
      </c>
      <c r="F253" s="8">
        <v>46068</v>
      </c>
      <c r="G253" s="8">
        <v>46100</v>
      </c>
      <c r="H253" t="s">
        <v>2492</v>
      </c>
      <c r="I253" t="s">
        <v>2499</v>
      </c>
      <c r="J253">
        <v>70</v>
      </c>
      <c r="K253" t="s">
        <v>2504</v>
      </c>
    </row>
    <row r="254" spans="1:11" x14ac:dyDescent="0.35">
      <c r="A254" t="s">
        <v>2766</v>
      </c>
      <c r="B254" t="s">
        <v>2490</v>
      </c>
      <c r="C254" t="s">
        <v>2522</v>
      </c>
      <c r="D254" t="s">
        <v>328</v>
      </c>
      <c r="E254" t="s">
        <v>1340</v>
      </c>
      <c r="F254" s="8">
        <v>46129</v>
      </c>
      <c r="G254" s="8">
        <v>46154</v>
      </c>
      <c r="H254" t="s">
        <v>2498</v>
      </c>
      <c r="I254" t="s">
        <v>2509</v>
      </c>
      <c r="J254">
        <v>0</v>
      </c>
    </row>
    <row r="255" spans="1:11" x14ac:dyDescent="0.35">
      <c r="A255" t="s">
        <v>2767</v>
      </c>
      <c r="B255" t="s">
        <v>2502</v>
      </c>
      <c r="C255" t="s">
        <v>2519</v>
      </c>
      <c r="D255" t="s">
        <v>260</v>
      </c>
      <c r="E255" t="s">
        <v>1756</v>
      </c>
      <c r="F255" s="8">
        <v>46129</v>
      </c>
      <c r="G255" s="8">
        <v>46163</v>
      </c>
      <c r="H255" t="s">
        <v>2506</v>
      </c>
      <c r="I255" t="s">
        <v>2499</v>
      </c>
      <c r="J255">
        <v>7</v>
      </c>
      <c r="K255" t="s">
        <v>2520</v>
      </c>
    </row>
    <row r="256" spans="1:11" x14ac:dyDescent="0.35">
      <c r="A256" t="s">
        <v>2768</v>
      </c>
      <c r="B256" t="s">
        <v>2525</v>
      </c>
      <c r="C256" t="s">
        <v>2512</v>
      </c>
      <c r="D256" t="s">
        <v>372</v>
      </c>
      <c r="E256" t="s">
        <v>1224</v>
      </c>
      <c r="F256" s="8">
        <v>46109</v>
      </c>
      <c r="G256" s="8">
        <v>46127</v>
      </c>
      <c r="H256" t="s">
        <v>2506</v>
      </c>
      <c r="I256" t="s">
        <v>2513</v>
      </c>
      <c r="J256">
        <v>43</v>
      </c>
      <c r="K256" t="s">
        <v>2500</v>
      </c>
    </row>
    <row r="257" spans="1:11" x14ac:dyDescent="0.35">
      <c r="A257" t="s">
        <v>2769</v>
      </c>
      <c r="B257" t="s">
        <v>2496</v>
      </c>
      <c r="C257" t="s">
        <v>2491</v>
      </c>
      <c r="D257" t="s">
        <v>281</v>
      </c>
      <c r="E257" t="s">
        <v>799</v>
      </c>
      <c r="F257" s="8">
        <v>46066</v>
      </c>
      <c r="G257" s="8">
        <v>46082</v>
      </c>
      <c r="H257" t="s">
        <v>2506</v>
      </c>
      <c r="I257" t="s">
        <v>2513</v>
      </c>
      <c r="J257">
        <v>88</v>
      </c>
      <c r="K257" t="s">
        <v>2494</v>
      </c>
    </row>
    <row r="258" spans="1:11" x14ac:dyDescent="0.35">
      <c r="A258" t="s">
        <v>2770</v>
      </c>
      <c r="B258" t="s">
        <v>2511</v>
      </c>
      <c r="C258" t="s">
        <v>2512</v>
      </c>
      <c r="E258" t="s">
        <v>989</v>
      </c>
      <c r="F258" s="8">
        <v>46119</v>
      </c>
      <c r="G258" s="8">
        <v>46134</v>
      </c>
      <c r="H258" t="s">
        <v>2492</v>
      </c>
      <c r="I258" t="s">
        <v>2499</v>
      </c>
      <c r="J258">
        <v>36</v>
      </c>
      <c r="K258" t="s">
        <v>2520</v>
      </c>
    </row>
    <row r="259" spans="1:11" x14ac:dyDescent="0.35">
      <c r="A259" t="s">
        <v>2771</v>
      </c>
      <c r="B259" t="s">
        <v>2525</v>
      </c>
      <c r="C259" t="s">
        <v>2497</v>
      </c>
      <c r="E259" t="s">
        <v>1817</v>
      </c>
      <c r="F259" s="8">
        <v>46133</v>
      </c>
      <c r="G259" s="8">
        <v>46131</v>
      </c>
      <c r="H259" t="s">
        <v>2506</v>
      </c>
      <c r="I259" t="s">
        <v>2499</v>
      </c>
      <c r="J259">
        <v>39</v>
      </c>
      <c r="K259" t="s">
        <v>2517</v>
      </c>
    </row>
    <row r="260" spans="1:11" x14ac:dyDescent="0.35">
      <c r="A260" t="s">
        <v>2772</v>
      </c>
      <c r="B260" t="s">
        <v>2525</v>
      </c>
      <c r="C260" t="s">
        <v>2512</v>
      </c>
      <c r="E260" t="s">
        <v>1657</v>
      </c>
      <c r="F260" s="8">
        <v>46122</v>
      </c>
      <c r="G260" s="8">
        <v>46131</v>
      </c>
      <c r="H260" t="s">
        <v>2492</v>
      </c>
      <c r="I260" t="s">
        <v>2513</v>
      </c>
      <c r="J260">
        <v>39</v>
      </c>
      <c r="K260" t="s">
        <v>2517</v>
      </c>
    </row>
    <row r="261" spans="1:11" x14ac:dyDescent="0.35">
      <c r="A261" t="s">
        <v>2773</v>
      </c>
      <c r="B261" t="s">
        <v>2502</v>
      </c>
      <c r="C261" t="s">
        <v>2503</v>
      </c>
      <c r="D261" t="s">
        <v>198</v>
      </c>
      <c r="E261" t="s">
        <v>1034</v>
      </c>
      <c r="F261" s="8">
        <v>46105</v>
      </c>
      <c r="G261" s="8">
        <v>46138</v>
      </c>
      <c r="H261" t="s">
        <v>2506</v>
      </c>
      <c r="I261" t="s">
        <v>2493</v>
      </c>
      <c r="J261">
        <v>32</v>
      </c>
      <c r="K261" t="s">
        <v>2515</v>
      </c>
    </row>
  </sheetData>
  <conditionalFormatting sqref="A2:K261">
    <cfRule type="expression" dxfId="0" priority="1">
      <formula>$J2&gt;0</formula>
    </cfRule>
  </conditionalFormatting>
  <pageMargins left="0.75" right="0.75" top="1" bottom="1" header="0.5" footer="0.5"/>
  <tableParts count="1">
    <tablePart r:id="rId1"/>
  </tableParts>
</worksheet>
</file>

<file path=docMetadata/LabelInfo.xml><?xml version="1.0" encoding="utf-8"?>
<clbl:labelList xmlns:clbl="http://schemas.microsoft.com/office/2020/mipLabelMetadata">
  <clbl:label id="{87867195-f2b8-4ac2-b0b6-6bb73cb33afc}" enabled="1" method="Privilege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Financial Summary</vt:lpstr>
      <vt:lpstr>Providers</vt:lpstr>
      <vt:lpstr>Claims</vt:lpstr>
      <vt:lpstr>Payments</vt:lpstr>
      <vt:lpstr>Deadlines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Omotola Orimoloye</cp:lastModifiedBy>
  <cp:revision/>
  <dcterms:created xsi:type="dcterms:W3CDTF">2026-05-28T13:51:38Z</dcterms:created>
  <dcterms:modified xsi:type="dcterms:W3CDTF">2026-06-05T17:43:29Z</dcterms:modified>
  <cp:category/>
  <cp:contentStatus/>
</cp:coreProperties>
</file>